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"/>
    </mc:Choice>
  </mc:AlternateContent>
  <xr:revisionPtr revIDLastSave="19" documentId="13_ncr:1_{48132F81-F191-4F1E-8083-16E473A2E287}" xr6:coauthVersionLast="47" xr6:coauthVersionMax="47" xr10:uidLastSave="{4335F2BC-0EF5-4201-9A08-B2AE94F138EC}"/>
  <bookViews>
    <workbookView xWindow="1100" yWindow="1100" windowWidth="34030" windowHeight="1541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33" l="1"/>
  <c r="T11" i="133" s="1"/>
  <c r="U11" i="133" s="1"/>
  <c r="V11" i="133" s="1"/>
  <c r="W11" i="133" s="1"/>
  <c r="R11" i="133"/>
  <c r="S9" i="133"/>
  <c r="T9" i="133"/>
  <c r="U9" i="133" s="1"/>
  <c r="V9" i="133" s="1"/>
  <c r="W9" i="133" s="1"/>
  <c r="S10" i="133"/>
  <c r="T10" i="133" s="1"/>
  <c r="U10" i="133" s="1"/>
  <c r="V10" i="133" s="1"/>
  <c r="W10" i="133" s="1"/>
  <c r="R10" i="133"/>
  <c r="R9" i="133"/>
  <c r="S8" i="133"/>
  <c r="T8" i="133"/>
  <c r="U8" i="133"/>
  <c r="V8" i="133" s="1"/>
  <c r="W8" i="133" s="1"/>
  <c r="R8" i="133"/>
  <c r="P9" i="133"/>
  <c r="P10" i="133"/>
  <c r="P11" i="133"/>
  <c r="P12" i="133"/>
  <c r="O13" i="133"/>
  <c r="P13" i="133"/>
  <c r="P8" i="133"/>
  <c r="E25" i="133"/>
  <c r="E26" i="133"/>
  <c r="E27" i="133"/>
  <c r="E28" i="133"/>
  <c r="E29" i="133"/>
  <c r="E22" i="133"/>
  <c r="D25" i="133"/>
  <c r="D26" i="133"/>
  <c r="D27" i="133"/>
  <c r="D28" i="133"/>
  <c r="D29" i="133"/>
  <c r="D22" i="133"/>
  <c r="C8" i="133"/>
  <c r="C22" i="133" s="1"/>
  <c r="C9" i="133"/>
  <c r="C25" i="133" s="1"/>
  <c r="C10" i="133"/>
  <c r="C26" i="133" s="1"/>
  <c r="C11" i="133"/>
  <c r="O11" i="133" s="1"/>
  <c r="C12" i="133"/>
  <c r="O12" i="133" s="1"/>
  <c r="C13" i="133"/>
  <c r="C29" i="133" s="1"/>
  <c r="C28" i="133" l="1"/>
  <c r="C27" i="133"/>
  <c r="O9" i="133"/>
  <c r="O10" i="133"/>
  <c r="O8" i="133"/>
  <c r="D8" i="133"/>
  <c r="D9" i="133"/>
  <c r="D10" i="133"/>
  <c r="D11" i="133"/>
  <c r="D12" i="133"/>
  <c r="D13" i="133"/>
  <c r="B10" i="133"/>
  <c r="B13" i="133"/>
  <c r="B12" i="133"/>
  <c r="B9" i="133"/>
  <c r="B11" i="133"/>
  <c r="B8" i="133"/>
  <c r="N9" i="133" l="1"/>
  <c r="B25" i="133"/>
  <c r="B28" i="133"/>
  <c r="N12" i="133"/>
  <c r="N10" i="133"/>
  <c r="B26" i="133"/>
  <c r="N8" i="133"/>
  <c r="B22" i="133"/>
  <c r="N11" i="133"/>
  <c r="B27" i="133"/>
  <c r="B29" i="133"/>
  <c r="N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<sst xmlns="http://schemas.openxmlformats.org/spreadsheetml/2006/main" count="222" uniqueCount="159">
  <si>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</si>
  <si>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</si>
  <si>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</si>
  <si>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</si>
  <si>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</si>
  <si>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</si>
  <si>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</si>
  <si>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</si>
  <si>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</si>
  <si>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</si>
  <si>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</si>
  <si>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</si>
  <si>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</si>
  <si>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</si>
  <si>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</si>
  <si>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</si>
  <si>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</si>
  <si>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\I: Predefiniowany zbiór dóbr</t>
  </si>
  <si>
    <t>Nazwa dobra</t>
  </si>
  <si>
    <t>Opis sobra</t>
  </si>
  <si>
    <t>Jednostka dobra</t>
  </si>
  <si>
    <t>-</t>
  </si>
  <si>
    <t>Poziom podokresów roku - równanie bilansu</t>
  </si>
  <si>
    <t>Oznaczenie dobra "energia elektryczna" dla CHP</t>
  </si>
  <si>
    <t>NRG</t>
  </si>
  <si>
    <t>HC</t>
  </si>
  <si>
    <t>Hard Coal</t>
  </si>
  <si>
    <t>PJ</t>
  </si>
  <si>
    <t>BC</t>
  </si>
  <si>
    <t>Brown Coal/Lignite</t>
  </si>
  <si>
    <t>NAT-GAS</t>
  </si>
  <si>
    <t>Natural Gas</t>
  </si>
  <si>
    <t>WIND-ON</t>
  </si>
  <si>
    <t>Onshore Wind Energy</t>
  </si>
  <si>
    <t>SOLAR</t>
  </si>
  <si>
    <t>Solar Energy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</si>
  <si>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</si>
  <si>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</si>
  <si>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</si>
  <si>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</si>
  <si>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</si>
  <si>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</si>
  <si>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</si>
  <si>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</si>
  <si>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</si>
  <si>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</si>
  <si>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</si>
  <si>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</si>
  <si>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</si>
  <si>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</si>
  <si>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</si>
  <si>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</si>
  <si>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</si>
  <si>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</si>
  <si>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</si>
  <si>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</si>
  <si>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</si>
  <si>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</si>
  <si>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</si>
  <si>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</si>
  <si>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</si>
  <si>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</si>
  <si>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</si>
  <si>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</si>
  <si>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</si>
  <si>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\I: Predefiniowany zbiór procesów</t>
  </si>
  <si>
    <t>Nazwa regionu</t>
  </si>
  <si>
    <t>Nazwa procesu</t>
  </si>
  <si>
    <t>Opis procesu</t>
  </si>
  <si>
    <t>Jednostka aktywności procesu</t>
  </si>
  <si>
    <t>Jednostka mocy zainstalowanej procesu</t>
  </si>
  <si>
    <t>MIN</t>
  </si>
  <si>
    <t>PL</t>
  </si>
  <si>
    <t>MIN_HC</t>
  </si>
  <si>
    <t>Hard Coal Domestic Supply</t>
  </si>
  <si>
    <t>MIN_BC</t>
  </si>
  <si>
    <t>Brown Coal Domestic Supply</t>
  </si>
  <si>
    <t>MIN_NAT-GAS</t>
  </si>
  <si>
    <t>Natural Gas Domestic Supply</t>
  </si>
  <si>
    <t>&lt;- supply of natural gas from two different sources</t>
  </si>
  <si>
    <t>IMP</t>
  </si>
  <si>
    <t>IMP_NAT-GAS</t>
  </si>
  <si>
    <t>Natural Gas Imports</t>
  </si>
  <si>
    <t>MIN_WIND-ON</t>
  </si>
  <si>
    <t>Wind Onshore</t>
  </si>
  <si>
    <t>MIN_SOLAR</t>
  </si>
  <si>
    <t>Solar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</si>
  <si>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</si>
  <si>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</si>
  <si>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</si>
  <si>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</si>
  <si>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</si>
  <si>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</si>
  <si>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</si>
  <si>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</si>
  <si>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</si>
  <si>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</si>
  <si>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</si>
  <si>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Demand Type Commodity at Output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</si>
  <si>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</si>
  <si>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</si>
  <si>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</si>
  <si>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</si>
  <si>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</si>
  <si>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</si>
  <si>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</si>
  <si>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</si>
  <si>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</si>
  <si>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Very Long Table</t>
  </si>
  <si>
    <t>~FI_T</t>
  </si>
  <si>
    <t>* TechDesc</t>
  </si>
  <si>
    <t>Comm-OUT</t>
  </si>
  <si>
    <t>COST</t>
  </si>
  <si>
    <t>ACT_BND~UP</t>
  </si>
  <si>
    <t>ACT_BND~FX</t>
  </si>
  <si>
    <t>ACT_BND~LO</t>
  </si>
  <si>
    <t>COST~2020</t>
  </si>
  <si>
    <t>COST~2025</t>
  </si>
  <si>
    <t>COST~2030</t>
  </si>
  <si>
    <t>COST~2035</t>
  </si>
  <si>
    <t>COST~2040</t>
  </si>
  <si>
    <t>COST~2045</t>
  </si>
  <si>
    <t>COST~2050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</si>
  <si>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</si>
  <si>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</si>
  <si>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</si>
  <si>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</si>
  <si>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</si>
  <si>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</si>
  <si>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</si>
  <si>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</si>
  <si>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</si>
  <si>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</si>
  <si>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</si>
  <si>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</si>
  <si>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</si>
  <si>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</si>
  <si>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\I: Technology Name</t>
  </si>
  <si>
    <t>Output Commodity</t>
  </si>
  <si>
    <t>Extraction Cost [MPLN/PJ]</t>
  </si>
  <si>
    <t>Annual Extraction Fixed Bound [PJ]</t>
  </si>
  <si>
    <t>\I: Nazwa procesu</t>
  </si>
  <si>
    <t>Dobro na wyjściu</t>
  </si>
  <si>
    <t>Koszt wydobycia (loco kopalnia)</t>
  </si>
  <si>
    <r>
      <t xml:space="preserve">Ograniczenie wydobycia w roku </t>
    </r>
    <r>
      <rPr>
        <b/>
        <sz val="10"/>
        <rFont val="Arial"/>
        <family val="2"/>
      </rPr>
      <t>(</t>
    </r>
    <r>
      <rPr>
        <b/>
        <sz val="10"/>
        <rFont val="Czcionka tekstu podstaw."/>
        <charset val="238"/>
      </rPr>
      <t>≤)</t>
    </r>
  </si>
  <si>
    <r>
      <t xml:space="preserve">Wymuszenie wydobycia w roku </t>
    </r>
    <r>
      <rPr>
        <b/>
        <sz val="10"/>
        <rFont val="Arial"/>
        <family val="2"/>
        <charset val="238"/>
      </rPr>
      <t>(=)</t>
    </r>
  </si>
  <si>
    <r>
      <t xml:space="preserve">Ograniczenie wydobycia w roku </t>
    </r>
    <r>
      <rPr>
        <b/>
        <sz val="10"/>
        <rFont val="Arial"/>
        <family val="2"/>
        <charset val="238"/>
      </rPr>
      <t>(≥)</t>
    </r>
  </si>
  <si>
    <t>Alternative syntax with LimType Attribute</t>
  </si>
  <si>
    <t>ACT_BND</t>
  </si>
  <si>
    <t>Attribute Sign</t>
  </si>
  <si>
    <r>
      <t xml:space="preserve">Znak ograniczenia
</t>
    </r>
    <r>
      <rPr>
        <b/>
        <sz val="10"/>
        <rFont val="Arial"/>
        <family val="2"/>
      </rPr>
      <t xml:space="preserve">UP </t>
    </r>
    <r>
      <rPr>
        <b/>
        <sz val="10"/>
        <rFont val="Czcionka tekstu podstaw."/>
        <charset val="238"/>
      </rPr>
      <t>≤</t>
    </r>
    <r>
      <rPr>
        <b/>
        <sz val="10"/>
        <rFont val="Arial"/>
        <family val="2"/>
      </rPr>
      <t xml:space="preserve">
FX = 
LO ≥</t>
    </r>
  </si>
  <si>
    <t>UP</t>
  </si>
  <si>
    <t>FX</t>
  </si>
  <si>
    <t>LO</t>
  </si>
  <si>
    <t>Annual Extraction Upper Bound [PJ/a]</t>
  </si>
  <si>
    <t>Annual Extraction Fixed Bound [PJ/a]</t>
  </si>
  <si>
    <t>Annual Extraction Lower Bound [PJ/a]</t>
  </si>
  <si>
    <r>
      <t>-&gt;
Example of assignment of attribute values in all model years (</t>
    </r>
    <r>
      <rPr>
        <b/>
        <sz val="12"/>
        <rFont val="Arial"/>
        <family val="2"/>
        <charset val="238"/>
      </rPr>
      <t>cumbersome to maintain</t>
    </r>
    <r>
      <rPr>
        <sz val="12"/>
        <rFont val="Arial"/>
        <family val="2"/>
        <charset val="238"/>
      </rPr>
      <t>)</t>
    </r>
  </si>
  <si>
    <t xml:space="preserve">&lt;-
Only baseline price here.
Actual forecast of fuel prices in future years is in the scenario file "FUEL_PRICE_PROJ".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</si>
</sst>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20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b/>
      <sz val="10"/>
      <name val="Czcionka tekstu podstaw."/>
      <charset val="238"/>
    </font>
    <font>
      <b/>
      <sz val="10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104">
    <xf numFmtId="0" fontId="0" fillId="0" borderId="0" xfId="0"/>
    <xf numFmtId="0" fontId="3" fillId="2" borderId="0" xfId="0" applyFont="1" applyFill="1"/>
    <xf numFmtId="0" fontId="4" fillId="0" borderId="0" xfId="0" applyFont="1"/>
    <xf numFmtId="0" fontId="7" fillId="2" borderId="0" xfId="0" applyFont="1" applyFill="1"/>
    <xf numFmtId="0" fontId="1" fillId="0" borderId="0" xfId="2"/>
    <xf numFmtId="0" fontId="12" fillId="0" borderId="0" xfId="2" applyFont="1"/>
    <xf numFmtId="0" fontId="5" fillId="0" borderId="0" xfId="2" applyFont="1" applyAlignment="1">
      <alignment horizontal="right"/>
    </xf>
    <xf numFmtId="3" fontId="5" fillId="0" borderId="0" xfId="2" applyNumberFormat="1" applyFont="1" applyAlignment="1">
      <alignment horizontal="left"/>
    </xf>
    <xf numFmtId="0" fontId="3" fillId="2" borderId="4" xfId="2" quotePrefix="1" applyFont="1" applyFill="1" applyBorder="1" applyAlignment="1">
      <alignment horizontal="left"/>
    </xf>
    <xf numFmtId="0" fontId="5" fillId="0" borderId="4" xfId="2" applyFont="1" applyBorder="1" applyAlignment="1">
      <alignment horizontal="right"/>
    </xf>
    <xf numFmtId="0" fontId="1" fillId="0" borderId="4" xfId="2" applyBorder="1"/>
    <xf numFmtId="0" fontId="1" fillId="0" borderId="4" xfId="2" applyBorder="1" applyAlignment="1">
      <alignment horizontal="left" vertical="center"/>
    </xf>
    <xf numFmtId="0" fontId="4" fillId="0" borderId="0" xfId="2" applyFont="1"/>
    <xf numFmtId="0" fontId="4" fillId="4" borderId="0" xfId="0" quotePrefix="1" applyFont="1" applyFill="1" applyAlignment="1">
      <alignment horizontal="left"/>
    </xf>
    <xf numFmtId="1" fontId="4" fillId="4" borderId="0" xfId="0" applyNumberFormat="1" applyFont="1" applyFill="1" applyAlignment="1">
      <alignment horizontal="right"/>
    </xf>
    <xf numFmtId="2" fontId="4" fillId="4" borderId="0" xfId="0" applyNumberFormat="1" applyFont="1" applyFill="1" applyAlignment="1">
      <alignment horizontal="right"/>
    </xf>
    <xf numFmtId="0" fontId="0" fillId="0" borderId="0" xfId="2" applyFont="1"/>
    <xf numFmtId="0" fontId="4" fillId="4" borderId="0" xfId="0" quotePrefix="1" applyFont="1" applyFill="1"/>
    <xf numFmtId="1" fontId="4" fillId="4" borderId="0" xfId="0" applyNumberFormat="1" applyFont="1" applyFill="1" applyAlignment="1">
      <alignment horizontal="left"/>
    </xf>
    <xf numFmtId="0" fontId="4" fillId="5" borderId="0" xfId="0" quotePrefix="1" applyFont="1" applyFill="1" applyAlignment="1">
      <alignment horizontal="left"/>
    </xf>
    <xf numFmtId="1" fontId="4" fillId="5" borderId="0" xfId="0" applyNumberFormat="1" applyFont="1" applyFill="1" applyAlignment="1">
      <alignment horizontal="left"/>
    </xf>
    <xf numFmtId="1" fontId="4" fillId="5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0" fontId="4" fillId="5" borderId="2" xfId="0" quotePrefix="1" applyFont="1" applyFill="1" applyBorder="1" applyAlignment="1">
      <alignment horizontal="left"/>
    </xf>
    <xf numFmtId="1" fontId="4" fillId="5" borderId="2" xfId="0" applyNumberFormat="1" applyFont="1" applyFill="1" applyBorder="1"/>
    <xf numFmtId="1" fontId="4" fillId="5" borderId="2" xfId="0" applyNumberFormat="1" applyFont="1" applyFill="1" applyBorder="1" applyAlignment="1">
      <alignment horizontal="right"/>
    </xf>
    <xf numFmtId="0" fontId="3" fillId="2" borderId="0" xfId="0" quotePrefix="1" applyFont="1" applyFill="1"/>
    <xf numFmtId="0" fontId="6" fillId="0" borderId="4" xfId="2" applyFont="1" applyBorder="1" applyAlignment="1">
      <alignment horizontal="left"/>
    </xf>
    <xf numFmtId="164" fontId="6" fillId="0" borderId="0" xfId="0" applyNumberFormat="1" applyFont="1"/>
    <xf numFmtId="164" fontId="4" fillId="0" borderId="0" xfId="0" applyNumberFormat="1" applyFont="1"/>
    <xf numFmtId="164" fontId="1" fillId="4" borderId="0" xfId="0" applyNumberFormat="1" applyFont="1" applyFill="1"/>
    <xf numFmtId="164" fontId="4" fillId="4" borderId="0" xfId="0" applyNumberFormat="1" applyFont="1" applyFill="1"/>
    <xf numFmtId="164" fontId="0" fillId="4" borderId="0" xfId="0" quotePrefix="1" applyNumberFormat="1" applyFill="1" applyAlignment="1">
      <alignment horizontal="left"/>
    </xf>
    <xf numFmtId="164" fontId="0" fillId="4" borderId="0" xfId="0" applyNumberFormat="1" applyFill="1"/>
    <xf numFmtId="164" fontId="1" fillId="5" borderId="0" xfId="0" applyNumberFormat="1" applyFont="1" applyFill="1"/>
    <xf numFmtId="164" fontId="4" fillId="5" borderId="0" xfId="0" applyNumberFormat="1" applyFont="1" applyFill="1"/>
    <xf numFmtId="164" fontId="0" fillId="5" borderId="0" xfId="0" quotePrefix="1" applyNumberFormat="1" applyFill="1" applyAlignment="1">
      <alignment horizontal="left"/>
    </xf>
    <xf numFmtId="164" fontId="0" fillId="5" borderId="0" xfId="0" applyNumberFormat="1" applyFill="1"/>
    <xf numFmtId="164" fontId="0" fillId="5" borderId="0" xfId="0" applyNumberFormat="1" applyFill="1" applyAlignment="1">
      <alignment horizontal="left"/>
    </xf>
    <xf numFmtId="164" fontId="1" fillId="4" borderId="2" xfId="0" applyNumberFormat="1" applyFont="1" applyFill="1" applyBorder="1"/>
    <xf numFmtId="164" fontId="4" fillId="4" borderId="2" xfId="0" applyNumberFormat="1" applyFont="1" applyFill="1" applyBorder="1"/>
    <xf numFmtId="164" fontId="0" fillId="4" borderId="2" xfId="0" applyNumberFormat="1" applyFill="1" applyBorder="1" applyAlignment="1">
      <alignment horizontal="left"/>
    </xf>
    <xf numFmtId="164" fontId="0" fillId="4" borderId="2" xfId="0" applyNumberFormat="1" applyFill="1" applyBorder="1"/>
    <xf numFmtId="164" fontId="0" fillId="0" borderId="0" xfId="0" applyNumberFormat="1"/>
    <xf numFmtId="164" fontId="4" fillId="3" borderId="2" xfId="1" applyNumberFormat="1" applyFill="1" applyBorder="1" applyAlignment="1">
      <alignment horizontal="center" vertical="center" wrapText="1"/>
    </xf>
    <xf numFmtId="164" fontId="4" fillId="5" borderId="2" xfId="0" applyNumberFormat="1" applyFont="1" applyFill="1" applyBorder="1"/>
    <xf numFmtId="164" fontId="1" fillId="5" borderId="2" xfId="3" applyNumberFormat="1" applyFill="1" applyBorder="1"/>
    <xf numFmtId="164" fontId="1" fillId="5" borderId="2" xfId="0" applyNumberFormat="1" applyFont="1" applyFill="1" applyBorder="1"/>
    <xf numFmtId="164" fontId="0" fillId="5" borderId="2" xfId="0" applyNumberFormat="1" applyFill="1" applyBorder="1"/>
    <xf numFmtId="0" fontId="1" fillId="7" borderId="5" xfId="0" applyFont="1" applyFill="1" applyBorder="1"/>
    <xf numFmtId="0" fontId="1" fillId="8" borderId="0" xfId="0" applyFont="1" applyFill="1"/>
    <xf numFmtId="0" fontId="1" fillId="7" borderId="0" xfId="0" applyFont="1" applyFill="1"/>
    <xf numFmtId="0" fontId="1" fillId="7" borderId="6" xfId="0" applyFont="1" applyFill="1" applyBorder="1"/>
    <xf numFmtId="0" fontId="1" fillId="0" borderId="0" xfId="0" applyFont="1"/>
    <xf numFmtId="164" fontId="2" fillId="9" borderId="1" xfId="0" applyNumberFormat="1" applyFont="1" applyFill="1" applyBorder="1" applyAlignment="1">
      <alignment horizontal="center" vertical="center"/>
    </xf>
    <xf numFmtId="164" fontId="4" fillId="3" borderId="1" xfId="1" applyNumberFormat="1" applyFill="1" applyBorder="1" applyAlignment="1">
      <alignment horizontal="center" vertical="center" wrapText="1"/>
    </xf>
    <xf numFmtId="164" fontId="4" fillId="3" borderId="2" xfId="1" quotePrefix="1" applyNumberFormat="1" applyFill="1" applyBorder="1" applyAlignment="1">
      <alignment horizontal="center" vertical="center" wrapText="1"/>
    </xf>
    <xf numFmtId="0" fontId="4" fillId="3" borderId="2" xfId="1" quotePrefix="1" applyFill="1" applyBorder="1" applyAlignment="1">
      <alignment horizontal="center" vertical="center" wrapText="1"/>
    </xf>
    <xf numFmtId="165" fontId="4" fillId="4" borderId="0" xfId="0" applyNumberFormat="1" applyFont="1" applyFill="1" applyAlignment="1">
      <alignment horizontal="right"/>
    </xf>
    <xf numFmtId="165" fontId="4" fillId="5" borderId="2" xfId="0" applyNumberFormat="1" applyFont="1" applyFill="1" applyBorder="1" applyAlignment="1">
      <alignment horizontal="right"/>
    </xf>
    <xf numFmtId="0" fontId="0" fillId="4" borderId="0" xfId="0" applyFill="1"/>
    <xf numFmtId="2" fontId="4" fillId="4" borderId="0" xfId="4" applyNumberFormat="1" applyFont="1" applyFill="1" applyAlignment="1">
      <alignment horizontal="right"/>
    </xf>
    <xf numFmtId="2" fontId="4" fillId="4" borderId="5" xfId="4" applyNumberFormat="1" applyFont="1" applyFill="1" applyBorder="1" applyAlignment="1">
      <alignment horizontal="right"/>
    </xf>
    <xf numFmtId="2" fontId="4" fillId="4" borderId="11" xfId="4" applyNumberFormat="1" applyFont="1" applyFill="1" applyBorder="1" applyAlignment="1">
      <alignment horizontal="right"/>
    </xf>
    <xf numFmtId="2" fontId="4" fillId="5" borderId="8" xfId="0" applyNumberFormat="1" applyFont="1" applyFill="1" applyBorder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165" fontId="4" fillId="4" borderId="8" xfId="0" applyNumberFormat="1" applyFont="1" applyFill="1" applyBorder="1" applyAlignment="1">
      <alignment horizontal="right"/>
    </xf>
    <xf numFmtId="165" fontId="4" fillId="5" borderId="9" xfId="0" applyNumberFormat="1" applyFont="1" applyFill="1" applyBorder="1" applyAlignment="1">
      <alignment horizontal="right"/>
    </xf>
    <xf numFmtId="2" fontId="4" fillId="4" borderId="12" xfId="4" applyNumberFormat="1" applyFont="1" applyFill="1" applyBorder="1" applyAlignment="1">
      <alignment horizontal="right"/>
    </xf>
    <xf numFmtId="2" fontId="4" fillId="5" borderId="7" xfId="0" applyNumberFormat="1" applyFont="1" applyFill="1" applyBorder="1" applyAlignment="1">
      <alignment horizontal="right"/>
    </xf>
    <xf numFmtId="2" fontId="4" fillId="4" borderId="7" xfId="0" applyNumberFormat="1" applyFont="1" applyFill="1" applyBorder="1" applyAlignment="1">
      <alignment horizontal="right"/>
    </xf>
    <xf numFmtId="0" fontId="1" fillId="0" borderId="0" xfId="2" applyAlignment="1">
      <alignment horizontal="left" vertical="center"/>
    </xf>
    <xf numFmtId="164" fontId="2" fillId="9" borderId="19" xfId="0" applyNumberFormat="1" applyFont="1" applyFill="1" applyBorder="1" applyAlignment="1">
      <alignment horizontal="center" vertical="center" wrapText="1"/>
    </xf>
    <xf numFmtId="164" fontId="2" fillId="9" borderId="20" xfId="0" applyNumberFormat="1" applyFont="1" applyFill="1" applyBorder="1" applyAlignment="1">
      <alignment horizontal="center" vertical="center" wrapText="1"/>
    </xf>
    <xf numFmtId="164" fontId="2" fillId="9" borderId="21" xfId="0" applyNumberFormat="1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right"/>
    </xf>
    <xf numFmtId="1" fontId="4" fillId="5" borderId="9" xfId="0" applyNumberFormat="1" applyFont="1" applyFill="1" applyBorder="1" applyAlignment="1">
      <alignment horizontal="right"/>
    </xf>
    <xf numFmtId="165" fontId="4" fillId="4" borderId="7" xfId="0" applyNumberFormat="1" applyFont="1" applyFill="1" applyBorder="1" applyAlignment="1">
      <alignment horizontal="right"/>
    </xf>
    <xf numFmtId="165" fontId="4" fillId="5" borderId="10" xfId="0" applyNumberFormat="1" applyFont="1" applyFill="1" applyBorder="1" applyAlignment="1">
      <alignment horizontal="right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4" fillId="3" borderId="0" xfId="1" applyNumberFormat="1" applyFill="1" applyAlignment="1">
      <alignment horizontal="center" vertical="center" wrapText="1"/>
    </xf>
    <xf numFmtId="164" fontId="4" fillId="3" borderId="7" xfId="1" applyNumberFormat="1" applyFill="1" applyBorder="1" applyAlignment="1">
      <alignment horizontal="center" vertical="center" wrapText="1"/>
    </xf>
    <xf numFmtId="164" fontId="4" fillId="3" borderId="9" xfId="1" applyNumberFormat="1" applyFill="1" applyBorder="1" applyAlignment="1">
      <alignment horizontal="center" vertical="center" wrapText="1"/>
    </xf>
    <xf numFmtId="164" fontId="4" fillId="3" borderId="2" xfId="1" applyNumberFormat="1" applyFill="1" applyBorder="1" applyAlignment="1">
      <alignment horizontal="center" vertical="center" wrapText="1"/>
    </xf>
    <xf numFmtId="164" fontId="4" fillId="3" borderId="10" xfId="1" applyNumberForma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17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164" fontId="4" fillId="3" borderId="8" xfId="1" applyNumberFormat="1" applyFill="1" applyBorder="1" applyAlignment="1">
      <alignment horizontal="center" vertical="center" wrapText="1"/>
    </xf>
    <xf numFmtId="0" fontId="18" fillId="10" borderId="13" xfId="2" quotePrefix="1" applyFont="1" applyFill="1" applyBorder="1" applyAlignment="1">
      <alignment horizontal="center" vertical="center" wrapText="1"/>
    </xf>
    <xf numFmtId="0" fontId="18" fillId="10" borderId="5" xfId="2" applyFont="1" applyFill="1" applyBorder="1" applyAlignment="1">
      <alignment horizontal="center" vertical="center"/>
    </xf>
    <xf numFmtId="0" fontId="18" fillId="10" borderId="14" xfId="2" applyFont="1" applyFill="1" applyBorder="1" applyAlignment="1">
      <alignment horizontal="center" vertical="center"/>
    </xf>
    <xf numFmtId="0" fontId="18" fillId="10" borderId="17" xfId="2" applyFont="1" applyFill="1" applyBorder="1" applyAlignment="1">
      <alignment horizontal="center" vertical="center"/>
    </xf>
    <xf numFmtId="0" fontId="18" fillId="10" borderId="2" xfId="2" applyFont="1" applyFill="1" applyBorder="1" applyAlignment="1">
      <alignment horizontal="center" vertical="center"/>
    </xf>
    <xf numFmtId="0" fontId="18" fillId="10" borderId="18" xfId="2" applyFont="1" applyFill="1" applyBorder="1" applyAlignment="1">
      <alignment horizontal="center" vertical="center"/>
    </xf>
  </cellXfs>
  <cellStyles count="5">
    <cellStyle name="Normal 10" xfId="1" xr:uid="{00000000-0005-0000-0000-000011010000}"/>
    <cellStyle name="Normal_MIN" xfId="2" xr:uid="{00000000-0005-0000-0000-000014010000}"/>
    <cellStyle name="Normal_PRC" xfId="3" xr:uid="{00000000-0005-0000-0000-000015010000}"/>
    <cellStyle name="Normalny" xfId="0" builtinId="0"/>
    <cellStyle name="Procentowy" xfId="4" builtinId="5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1"/>
  <sheetViews>
    <sheetView zoomScale="130" zoomScaleNormal="130" workbookViewId="0">
      <selection activeCell="J6" sqref="J6"/>
    </sheetView>
  </sheetViews>
  <sheetFormatPr defaultRowHeight="12.5"/>
  <cols>
    <col min="1" max="1" width="2.90625" customWidth="1"/>
    <col min="2" max="3" width="14.36328125" customWidth="1"/>
    <col min="4" max="4" width="32.90625" customWidth="1"/>
    <col min="5" max="5" width="10.6328125" customWidth="1"/>
    <col min="6" max="6" width="15.6328125" customWidth="1"/>
    <col min="7" max="7" width="15" customWidth="1"/>
    <col min="8" max="8" width="12.90625" customWidth="1"/>
    <col min="9" max="9" width="15.6328125" customWidth="1"/>
    <col min="10" max="10" width="3.6328125" customWidth="1"/>
    <col min="11" max="12" width="10.6328125" bestFit="1" customWidth="1"/>
  </cols>
  <sheetData>
    <row r="2" spans="2:9" ht="17.5">
      <c r="B2" s="26" t="s">
        <v>0</v>
      </c>
      <c r="C2" s="3"/>
      <c r="D2" s="3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7.399999999999999" customHeight="1">
      <c r="B4" s="28" t="s">
        <v>1</v>
      </c>
      <c r="C4" s="29"/>
      <c r="D4" s="29"/>
      <c r="E4" s="29"/>
      <c r="F4" s="29"/>
      <c r="G4" s="29"/>
      <c r="H4" s="29"/>
      <c r="I4" s="29"/>
    </row>
    <row r="5" spans="2:9" ht="15.75" customHeight="1">
      <c r="B5" s="54" t="s">
        <v>2</v>
      </c>
      <c r="C5" s="54" t="s">
        <v>3</v>
      </c>
      <c r="D5" s="54" t="s">
        <v>4</v>
      </c>
      <c r="E5" s="54" t="s">
        <v>5</v>
      </c>
      <c r="F5" s="54" t="s">
        <v>6</v>
      </c>
      <c r="G5" s="54" t="s">
        <v>7</v>
      </c>
      <c r="H5" s="54" t="s">
        <v>8</v>
      </c>
      <c r="I5" s="54" t="s">
        <v>9</v>
      </c>
    </row>
    <row r="6" spans="2:9" ht="37.5">
      <c r="B6" s="55" t="s">
        <v>10</v>
      </c>
      <c r="C6" s="55" t="s">
        <v>11</v>
      </c>
      <c r="D6" s="55" t="s">
        <v>12</v>
      </c>
      <c r="E6" s="55" t="s">
        <v>5</v>
      </c>
      <c r="F6" s="55" t="s">
        <v>13</v>
      </c>
      <c r="G6" s="55" t="s">
        <v>14</v>
      </c>
      <c r="H6" s="55" t="s">
        <v>15</v>
      </c>
      <c r="I6" s="55" t="s">
        <v>16</v>
      </c>
    </row>
    <row r="7" spans="2:9" ht="50.5" thickBot="1">
      <c r="B7" s="44" t="s">
        <v>17</v>
      </c>
      <c r="C7" s="44" t="s">
        <v>18</v>
      </c>
      <c r="D7" s="44" t="s">
        <v>19</v>
      </c>
      <c r="E7" s="44" t="s">
        <v>20</v>
      </c>
      <c r="F7" s="56" t="s">
        <v>21</v>
      </c>
      <c r="G7" s="44" t="s">
        <v>22</v>
      </c>
      <c r="H7" s="56" t="s">
        <v>21</v>
      </c>
      <c r="I7" s="44" t="s">
        <v>23</v>
      </c>
    </row>
    <row r="8" spans="2:9" ht="15.75" customHeight="1">
      <c r="B8" s="30" t="s">
        <v>24</v>
      </c>
      <c r="C8" s="31" t="s">
        <v>25</v>
      </c>
      <c r="D8" s="30" t="s">
        <v>26</v>
      </c>
      <c r="E8" s="32" t="s">
        <v>27</v>
      </c>
      <c r="F8" s="33"/>
      <c r="G8" s="33"/>
      <c r="H8" s="33"/>
      <c r="I8" s="33"/>
    </row>
    <row r="9" spans="2:9" ht="15.75" customHeight="1">
      <c r="B9" s="34" t="s">
        <v>24</v>
      </c>
      <c r="C9" s="35" t="s">
        <v>28</v>
      </c>
      <c r="D9" s="34" t="s">
        <v>29</v>
      </c>
      <c r="E9" s="36" t="s">
        <v>27</v>
      </c>
      <c r="F9" s="37"/>
      <c r="G9" s="37"/>
      <c r="H9" s="37"/>
      <c r="I9" s="37"/>
    </row>
    <row r="10" spans="2:9" ht="15.75" customHeight="1">
      <c r="B10" s="30" t="s">
        <v>24</v>
      </c>
      <c r="C10" s="31" t="s">
        <v>30</v>
      </c>
      <c r="D10" s="30" t="s">
        <v>31</v>
      </c>
      <c r="E10" s="32" t="s">
        <v>27</v>
      </c>
      <c r="F10" s="33"/>
      <c r="G10" s="33"/>
      <c r="H10" s="33"/>
      <c r="I10" s="33"/>
    </row>
    <row r="11" spans="2:9" ht="15.75" customHeight="1">
      <c r="B11" s="34" t="s">
        <v>24</v>
      </c>
      <c r="C11" s="35" t="s">
        <v>32</v>
      </c>
      <c r="D11" s="34" t="s">
        <v>33</v>
      </c>
      <c r="E11" s="38" t="s">
        <v>27</v>
      </c>
      <c r="F11" s="37"/>
      <c r="G11" s="37"/>
      <c r="H11" s="37"/>
      <c r="I11" s="37"/>
    </row>
    <row r="12" spans="2:9" ht="15.75" customHeight="1" thickBot="1">
      <c r="B12" s="39" t="s">
        <v>24</v>
      </c>
      <c r="C12" s="40" t="s">
        <v>34</v>
      </c>
      <c r="D12" s="39" t="s">
        <v>35</v>
      </c>
      <c r="E12" s="41" t="s">
        <v>27</v>
      </c>
      <c r="F12" s="42"/>
      <c r="G12" s="42"/>
      <c r="H12" s="42"/>
      <c r="I12" s="42"/>
    </row>
    <row r="13" spans="2:9">
      <c r="B13" s="53"/>
      <c r="C13" s="53"/>
      <c r="E13" s="53"/>
    </row>
    <row r="16" spans="2:9" ht="13" thickBot="1">
      <c r="B16" s="79" t="s">
        <v>36</v>
      </c>
      <c r="C16" s="79"/>
    </row>
    <row r="17" spans="2:3">
      <c r="B17" s="49" t="s">
        <v>24</v>
      </c>
      <c r="C17" s="49" t="s">
        <v>37</v>
      </c>
    </row>
    <row r="18" spans="2:3">
      <c r="B18" s="50" t="s">
        <v>38</v>
      </c>
      <c r="C18" s="50" t="s">
        <v>39</v>
      </c>
    </row>
    <row r="19" spans="2:3">
      <c r="B19" s="51" t="s">
        <v>40</v>
      </c>
      <c r="C19" s="51" t="s">
        <v>41</v>
      </c>
    </row>
    <row r="20" spans="2:3">
      <c r="B20" s="50" t="s">
        <v>42</v>
      </c>
      <c r="C20" s="50" t="s">
        <v>43</v>
      </c>
    </row>
    <row r="21" spans="2:3" ht="13" thickBot="1">
      <c r="B21" s="52" t="s">
        <v>44</v>
      </c>
      <c r="C21" s="52" t="s">
        <v>45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6"/>
  <sheetViews>
    <sheetView zoomScale="160" zoomScaleNormal="160" workbookViewId="0">
      <selection activeCell="K7" sqref="K7"/>
    </sheetView>
  </sheetViews>
  <sheetFormatPr defaultRowHeight="12.5"/>
  <cols>
    <col min="1" max="1" width="2.90625" customWidth="1"/>
    <col min="2" max="2" width="15.6328125" customWidth="1"/>
    <col min="3" max="3" width="16.6328125" customWidth="1"/>
    <col min="4" max="4" width="24" customWidth="1"/>
    <col min="5" max="5" width="28.54296875" customWidth="1"/>
    <col min="6" max="6" width="10" customWidth="1"/>
    <col min="7" max="7" width="14" customWidth="1"/>
    <col min="8" max="8" width="15.08984375" customWidth="1"/>
    <col min="9" max="9" width="14.08984375" customWidth="1"/>
    <col min="10" max="10" width="10" customWidth="1"/>
    <col min="11" max="11" width="3.6328125" customWidth="1"/>
  </cols>
  <sheetData>
    <row r="2" spans="2:16" ht="18" customHeight="1">
      <c r="B2" s="26" t="s">
        <v>46</v>
      </c>
      <c r="C2" s="1"/>
      <c r="D2" s="1"/>
    </row>
    <row r="3" spans="2:16" ht="12.75" customHeight="1"/>
    <row r="4" spans="2:16" ht="15.75" customHeight="1">
      <c r="B4" s="28" t="s">
        <v>47</v>
      </c>
      <c r="C4" s="28"/>
      <c r="D4" s="43"/>
      <c r="E4" s="43"/>
      <c r="F4" s="43"/>
      <c r="G4" s="43"/>
      <c r="H4" s="43"/>
      <c r="I4" s="43"/>
      <c r="J4" s="43"/>
    </row>
    <row r="5" spans="2:16" ht="15.75" customHeight="1">
      <c r="B5" s="54" t="s">
        <v>48</v>
      </c>
      <c r="C5" s="54" t="s">
        <v>49</v>
      </c>
      <c r="D5" s="54" t="s">
        <v>50</v>
      </c>
      <c r="E5" s="54" t="s">
        <v>51</v>
      </c>
      <c r="F5" s="54" t="s">
        <v>52</v>
      </c>
      <c r="G5" s="54" t="s">
        <v>53</v>
      </c>
      <c r="H5" s="54" t="s">
        <v>54</v>
      </c>
      <c r="I5" s="54" t="s">
        <v>55</v>
      </c>
      <c r="J5" s="54" t="s">
        <v>56</v>
      </c>
    </row>
    <row r="6" spans="2:16" ht="36" customHeight="1">
      <c r="B6" s="55" t="s">
        <v>57</v>
      </c>
      <c r="C6" s="55" t="s">
        <v>58</v>
      </c>
      <c r="D6" s="55" t="s">
        <v>59</v>
      </c>
      <c r="E6" s="55" t="s">
        <v>60</v>
      </c>
      <c r="F6" s="55" t="s">
        <v>61</v>
      </c>
      <c r="G6" s="55" t="s">
        <v>62</v>
      </c>
      <c r="H6" s="55" t="s">
        <v>14</v>
      </c>
      <c r="I6" s="55" t="s">
        <v>63</v>
      </c>
      <c r="J6" s="55" t="s">
        <v>64</v>
      </c>
    </row>
    <row r="7" spans="2:16" ht="54.65" customHeight="1" thickBot="1">
      <c r="B7" s="44" t="s">
        <v>65</v>
      </c>
      <c r="C7" s="44" t="s">
        <v>66</v>
      </c>
      <c r="D7" s="44" t="s">
        <v>67</v>
      </c>
      <c r="E7" s="44" t="s">
        <v>68</v>
      </c>
      <c r="F7" s="44" t="s">
        <v>69</v>
      </c>
      <c r="G7" s="44" t="s">
        <v>70</v>
      </c>
      <c r="H7" s="44" t="s">
        <v>22</v>
      </c>
      <c r="I7" s="57"/>
      <c r="J7" s="57"/>
    </row>
    <row r="8" spans="2:16" ht="15.75" customHeight="1">
      <c r="B8" s="30" t="s">
        <v>71</v>
      </c>
      <c r="C8" s="31" t="s">
        <v>72</v>
      </c>
      <c r="D8" s="30" t="s">
        <v>73</v>
      </c>
      <c r="E8" s="32" t="s">
        <v>74</v>
      </c>
      <c r="F8" s="33" t="s">
        <v>27</v>
      </c>
      <c r="G8" s="33"/>
      <c r="H8" s="33"/>
      <c r="I8" s="33"/>
      <c r="J8" s="33"/>
    </row>
    <row r="9" spans="2:16" ht="15.75" customHeight="1">
      <c r="B9" s="34" t="s">
        <v>71</v>
      </c>
      <c r="C9" s="35" t="s">
        <v>72</v>
      </c>
      <c r="D9" s="34" t="s">
        <v>75</v>
      </c>
      <c r="E9" s="36" t="s">
        <v>76</v>
      </c>
      <c r="F9" s="37" t="s">
        <v>27</v>
      </c>
      <c r="G9" s="37"/>
      <c r="H9" s="37"/>
      <c r="I9" s="37"/>
      <c r="J9" s="37"/>
    </row>
    <row r="10" spans="2:16" ht="15.75" customHeight="1">
      <c r="B10" s="30" t="s">
        <v>71</v>
      </c>
      <c r="C10" s="31" t="s">
        <v>72</v>
      </c>
      <c r="D10" s="30" t="s">
        <v>77</v>
      </c>
      <c r="E10" s="32" t="s">
        <v>78</v>
      </c>
      <c r="F10" s="33" t="s">
        <v>27</v>
      </c>
      <c r="G10" s="33"/>
      <c r="H10" s="33"/>
      <c r="I10" s="33"/>
      <c r="J10" s="33"/>
      <c r="L10" s="81" t="s">
        <v>79</v>
      </c>
      <c r="M10" s="82"/>
      <c r="N10" s="82"/>
      <c r="O10" s="82"/>
      <c r="P10" s="82"/>
    </row>
    <row r="11" spans="2:16" ht="15.75" customHeight="1">
      <c r="B11" s="34" t="s">
        <v>80</v>
      </c>
      <c r="C11" s="35" t="s">
        <v>72</v>
      </c>
      <c r="D11" s="34" t="s">
        <v>81</v>
      </c>
      <c r="E11" s="38" t="s">
        <v>82</v>
      </c>
      <c r="F11" s="37" t="s">
        <v>27</v>
      </c>
      <c r="G11" s="37"/>
      <c r="H11" s="37"/>
      <c r="I11" s="37"/>
      <c r="J11" s="37"/>
      <c r="L11" s="82"/>
      <c r="M11" s="82"/>
      <c r="N11" s="82"/>
      <c r="O11" s="82"/>
      <c r="P11" s="82"/>
    </row>
    <row r="12" spans="2:16" ht="15.75" customHeight="1">
      <c r="B12" s="30" t="s">
        <v>71</v>
      </c>
      <c r="C12" s="31" t="s">
        <v>72</v>
      </c>
      <c r="D12" s="30" t="s">
        <v>83</v>
      </c>
      <c r="E12" s="32" t="s">
        <v>84</v>
      </c>
      <c r="F12" s="33" t="s">
        <v>27</v>
      </c>
      <c r="G12" s="33"/>
      <c r="H12" s="33"/>
      <c r="I12" s="33"/>
      <c r="J12" s="33"/>
    </row>
    <row r="13" spans="2:16" ht="15.75" customHeight="1" thickBot="1">
      <c r="B13" s="45" t="s">
        <v>71</v>
      </c>
      <c r="C13" s="46" t="s">
        <v>72</v>
      </c>
      <c r="D13" s="47" t="s">
        <v>85</v>
      </c>
      <c r="E13" s="47" t="s">
        <v>86</v>
      </c>
      <c r="F13" s="48" t="s">
        <v>27</v>
      </c>
      <c r="G13" s="48"/>
      <c r="H13" s="48"/>
      <c r="I13" s="48"/>
      <c r="J13" s="48"/>
    </row>
    <row r="17" spans="2:4">
      <c r="B17" s="80" t="s">
        <v>87</v>
      </c>
      <c r="C17" s="80"/>
      <c r="D17" s="80"/>
    </row>
    <row r="18" spans="2:4">
      <c r="B18" s="51" t="s">
        <v>88</v>
      </c>
      <c r="C18" s="51" t="s">
        <v>89</v>
      </c>
      <c r="D18" s="51"/>
    </row>
    <row r="19" spans="2:4">
      <c r="B19" s="50" t="s">
        <v>90</v>
      </c>
      <c r="C19" s="50" t="s">
        <v>91</v>
      </c>
      <c r="D19" s="50"/>
    </row>
    <row r="20" spans="2:4">
      <c r="B20" s="51" t="s">
        <v>92</v>
      </c>
      <c r="C20" s="51" t="s">
        <v>93</v>
      </c>
      <c r="D20" s="51"/>
    </row>
    <row r="21" spans="2:4">
      <c r="B21" s="50" t="s">
        <v>94</v>
      </c>
      <c r="C21" s="50" t="s">
        <v>95</v>
      </c>
      <c r="D21" s="50"/>
    </row>
    <row r="22" spans="2:4">
      <c r="B22" s="51" t="s">
        <v>96</v>
      </c>
      <c r="C22" s="51" t="s">
        <v>97</v>
      </c>
      <c r="D22" s="51" t="s">
        <v>98</v>
      </c>
    </row>
    <row r="23" spans="2:4">
      <c r="B23" s="50" t="s">
        <v>80</v>
      </c>
      <c r="C23" s="50" t="s">
        <v>99</v>
      </c>
      <c r="D23" s="50" t="s">
        <v>100</v>
      </c>
    </row>
    <row r="24" spans="2:4">
      <c r="B24" s="51" t="s">
        <v>101</v>
      </c>
      <c r="C24" s="51" t="s">
        <v>102</v>
      </c>
      <c r="D24" s="51" t="s">
        <v>103</v>
      </c>
    </row>
    <row r="25" spans="2:4">
      <c r="B25" s="50" t="s">
        <v>71</v>
      </c>
      <c r="C25" s="50" t="s">
        <v>104</v>
      </c>
      <c r="D25" s="50" t="s">
        <v>100</v>
      </c>
    </row>
    <row r="26" spans="2:4" ht="13" thickBot="1">
      <c r="B26" s="52" t="s">
        <v>105</v>
      </c>
      <c r="C26" s="52" t="s">
        <v>106</v>
      </c>
      <c r="D26" s="52"/>
    </row>
  </sheetData>
  <mergeCells count="2">
    <mergeCell ref="B17:D17"/>
    <mergeCell ref="L10:P1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K29"/>
  <sheetViews>
    <sheetView tabSelected="1" zoomScale="175" zoomScaleNormal="175" workbookViewId="0">
      <selection activeCell="AL10" sqref="AL10"/>
    </sheetView>
  </sheetViews>
  <sheetFormatPr defaultRowHeight="12.5"/>
  <cols>
    <col min="1" max="1" width="2.90625" customWidth="1"/>
    <col min="2" max="2" width="20" customWidth="1"/>
    <col min="3" max="3" width="27.08984375" customWidth="1"/>
    <col min="4" max="5" width="12.90625" customWidth="1"/>
    <col min="6" max="6" width="20.36328125" customWidth="1"/>
    <col min="7" max="8" width="19.54296875" customWidth="1"/>
    <col min="9" max="9" width="3.6328125" customWidth="1"/>
    <col min="10" max="10" width="15.90625" customWidth="1"/>
    <col min="13" max="13" width="3.6328125" customWidth="1"/>
    <col min="14" max="14" width="13.54296875" bestFit="1" customWidth="1"/>
    <col min="15" max="15" width="25.36328125" bestFit="1" customWidth="1"/>
    <col min="16" max="16" width="11.08984375" bestFit="1" customWidth="1"/>
    <col min="17" max="17" width="7.6328125" customWidth="1"/>
    <col min="18" max="23" width="6.6328125" customWidth="1"/>
    <col min="24" max="30" width="9.6328125" customWidth="1"/>
    <col min="31" max="37" width="9.54296875" customWidth="1"/>
    <col min="38" max="38" width="3.6328125" customWidth="1"/>
  </cols>
  <sheetData>
    <row r="2" spans="2:37" ht="17.5">
      <c r="B2" s="8" t="s">
        <v>107</v>
      </c>
      <c r="C2" s="8"/>
      <c r="D2" s="8"/>
      <c r="E2" s="6"/>
      <c r="F2" s="4"/>
      <c r="G2" s="4"/>
      <c r="H2" s="4"/>
      <c r="I2" s="4"/>
      <c r="J2" s="4"/>
      <c r="N2" s="8" t="s">
        <v>108</v>
      </c>
      <c r="O2" s="8"/>
      <c r="P2" s="8"/>
    </row>
    <row r="3" spans="2:37">
      <c r="B3" s="7"/>
      <c r="C3" s="4"/>
      <c r="D3" s="5"/>
      <c r="E3" s="6"/>
      <c r="F3" s="6"/>
      <c r="G3" s="4"/>
      <c r="H3" s="16"/>
      <c r="I3" s="4"/>
      <c r="J3" s="4"/>
    </row>
    <row r="4" spans="2:37" ht="15.75" customHeight="1">
      <c r="B4" s="27" t="s">
        <v>109</v>
      </c>
      <c r="E4" s="4"/>
      <c r="F4" s="9"/>
      <c r="G4" s="10"/>
      <c r="H4" s="10"/>
      <c r="I4" s="10"/>
      <c r="J4" s="10"/>
    </row>
    <row r="5" spans="2:37" ht="31.25" customHeight="1" thickBot="1">
      <c r="B5" s="54" t="s">
        <v>50</v>
      </c>
      <c r="C5" s="54" t="s">
        <v>110</v>
      </c>
      <c r="D5" s="54" t="s">
        <v>111</v>
      </c>
      <c r="E5" s="54" t="s">
        <v>112</v>
      </c>
      <c r="F5" s="54" t="s">
        <v>113</v>
      </c>
      <c r="G5" s="54" t="s">
        <v>114</v>
      </c>
      <c r="H5" s="54" t="s">
        <v>115</v>
      </c>
      <c r="I5" s="11"/>
      <c r="J5" s="71"/>
      <c r="N5" s="54" t="s">
        <v>50</v>
      </c>
      <c r="O5" s="54" t="s">
        <v>110</v>
      </c>
      <c r="P5" s="54" t="s">
        <v>111</v>
      </c>
      <c r="Q5" s="72" t="s">
        <v>116</v>
      </c>
      <c r="R5" s="73" t="s">
        <v>117</v>
      </c>
      <c r="S5" s="73" t="s">
        <v>118</v>
      </c>
      <c r="T5" s="73" t="s">
        <v>119</v>
      </c>
      <c r="U5" s="73" t="s">
        <v>120</v>
      </c>
      <c r="V5" s="73" t="s">
        <v>121</v>
      </c>
      <c r="W5" s="74" t="s">
        <v>122</v>
      </c>
      <c r="X5" s="73" t="s">
        <v>123</v>
      </c>
      <c r="Y5" s="73" t="s">
        <v>124</v>
      </c>
      <c r="Z5" s="73" t="s">
        <v>125</v>
      </c>
      <c r="AA5" s="73" t="s">
        <v>126</v>
      </c>
      <c r="AB5" s="73" t="s">
        <v>127</v>
      </c>
      <c r="AC5" s="73" t="s">
        <v>128</v>
      </c>
      <c r="AD5" s="74" t="s">
        <v>129</v>
      </c>
      <c r="AE5" s="73" t="s">
        <v>130</v>
      </c>
      <c r="AF5" s="73" t="s">
        <v>131</v>
      </c>
      <c r="AG5" s="73" t="s">
        <v>132</v>
      </c>
      <c r="AH5" s="73" t="s">
        <v>133</v>
      </c>
      <c r="AI5" s="73" t="s">
        <v>134</v>
      </c>
      <c r="AJ5" s="73" t="s">
        <v>135</v>
      </c>
      <c r="AK5" s="74" t="s">
        <v>136</v>
      </c>
    </row>
    <row r="6" spans="2:37" ht="47.25" customHeight="1">
      <c r="B6" s="55" t="s">
        <v>137</v>
      </c>
      <c r="C6" s="55" t="s">
        <v>60</v>
      </c>
      <c r="D6" s="55" t="s">
        <v>138</v>
      </c>
      <c r="E6" s="55" t="s">
        <v>139</v>
      </c>
      <c r="F6" s="55" t="s">
        <v>154</v>
      </c>
      <c r="G6" s="55" t="s">
        <v>155</v>
      </c>
      <c r="H6" s="55" t="s">
        <v>156</v>
      </c>
      <c r="I6" s="12"/>
      <c r="J6" s="98" t="s">
        <v>157</v>
      </c>
      <c r="K6" s="99"/>
      <c r="L6" s="100"/>
      <c r="N6" s="55" t="s">
        <v>137</v>
      </c>
      <c r="O6" s="55" t="s">
        <v>60</v>
      </c>
      <c r="P6" s="55" t="s">
        <v>138</v>
      </c>
      <c r="Q6" s="97" t="s">
        <v>139</v>
      </c>
      <c r="R6" s="83"/>
      <c r="S6" s="83"/>
      <c r="T6" s="83"/>
      <c r="U6" s="83"/>
      <c r="V6" s="83"/>
      <c r="W6" s="84"/>
      <c r="X6" s="83" t="s">
        <v>154</v>
      </c>
      <c r="Y6" s="83"/>
      <c r="Z6" s="83"/>
      <c r="AA6" s="83"/>
      <c r="AB6" s="83"/>
      <c r="AC6" s="83"/>
      <c r="AD6" s="84"/>
      <c r="AE6" s="83" t="s">
        <v>156</v>
      </c>
      <c r="AF6" s="83"/>
      <c r="AG6" s="83"/>
      <c r="AH6" s="83"/>
      <c r="AI6" s="83"/>
      <c r="AJ6" s="83"/>
      <c r="AK6" s="84"/>
    </row>
    <row r="7" spans="2:37" ht="47.25" customHeight="1" thickBot="1">
      <c r="B7" s="44" t="s">
        <v>141</v>
      </c>
      <c r="C7" s="44" t="s">
        <v>68</v>
      </c>
      <c r="D7" s="44" t="s">
        <v>142</v>
      </c>
      <c r="E7" s="44" t="s">
        <v>143</v>
      </c>
      <c r="F7" s="44" t="s">
        <v>144</v>
      </c>
      <c r="G7" s="44" t="s">
        <v>145</v>
      </c>
      <c r="H7" s="44" t="s">
        <v>146</v>
      </c>
      <c r="I7" s="12"/>
      <c r="J7" s="101"/>
      <c r="K7" s="102"/>
      <c r="L7" s="103"/>
      <c r="N7" s="44" t="s">
        <v>141</v>
      </c>
      <c r="O7" s="44" t="s">
        <v>68</v>
      </c>
      <c r="P7" s="44" t="s">
        <v>142</v>
      </c>
      <c r="Q7" s="85" t="s">
        <v>143</v>
      </c>
      <c r="R7" s="86"/>
      <c r="S7" s="86"/>
      <c r="T7" s="86"/>
      <c r="U7" s="86"/>
      <c r="V7" s="86"/>
      <c r="W7" s="87"/>
      <c r="X7" s="85" t="s">
        <v>144</v>
      </c>
      <c r="Y7" s="86"/>
      <c r="Z7" s="86"/>
      <c r="AA7" s="86"/>
      <c r="AB7" s="86"/>
      <c r="AC7" s="86"/>
      <c r="AD7" s="87"/>
      <c r="AE7" s="85" t="s">
        <v>146</v>
      </c>
      <c r="AF7" s="86"/>
      <c r="AG7" s="86"/>
      <c r="AH7" s="86"/>
      <c r="AI7" s="86"/>
      <c r="AJ7" s="86"/>
      <c r="AK7" s="87"/>
    </row>
    <row r="8" spans="2:37" ht="15.75" customHeight="1">
      <c r="B8" s="13" t="str">
        <f>SEC_Processes!D8</f>
        <v>MIN_HC</v>
      </c>
      <c r="C8" s="13" t="str">
        <f>SEC_Processes!E8</f>
        <v>Hard Coal Domestic Supply</v>
      </c>
      <c r="D8" s="17" t="str">
        <f>SEC_Comm!C8</f>
        <v>HC</v>
      </c>
      <c r="E8" s="15">
        <v>15</v>
      </c>
      <c r="F8" s="14"/>
      <c r="G8" s="14"/>
      <c r="H8" s="14"/>
      <c r="J8" s="88" t="s">
        <v>158</v>
      </c>
      <c r="K8" s="89"/>
      <c r="L8" s="90"/>
      <c r="N8" s="13" t="str">
        <f>B8</f>
        <v>MIN_HC</v>
      </c>
      <c r="O8" s="13" t="str">
        <f t="shared" ref="O8:P8" si="0">C8</f>
        <v>Hard Coal Domestic Supply</v>
      </c>
      <c r="P8" s="13" t="str">
        <f t="shared" si="0"/>
        <v>HC</v>
      </c>
      <c r="Q8" s="63">
        <v>15</v>
      </c>
      <c r="R8" s="62">
        <f>Q8*1.02</f>
        <v>15.3</v>
      </c>
      <c r="S8" s="62">
        <f t="shared" ref="S8:W8" si="1">R8*1.02</f>
        <v>15.606000000000002</v>
      </c>
      <c r="T8" s="62">
        <f t="shared" si="1"/>
        <v>15.918120000000002</v>
      </c>
      <c r="U8" s="62">
        <f t="shared" si="1"/>
        <v>16.236482400000003</v>
      </c>
      <c r="V8" s="62">
        <f t="shared" si="1"/>
        <v>16.561212048000005</v>
      </c>
      <c r="W8" s="68">
        <f t="shared" si="1"/>
        <v>16.892436288960006</v>
      </c>
      <c r="X8" s="61"/>
      <c r="Y8" s="61"/>
      <c r="Z8" s="61"/>
      <c r="AA8" s="61"/>
      <c r="AB8" s="61"/>
      <c r="AC8" s="61"/>
      <c r="AD8" s="61"/>
      <c r="AE8" s="63"/>
      <c r="AF8" s="61"/>
      <c r="AG8" s="61"/>
      <c r="AH8" s="61"/>
      <c r="AI8" s="61"/>
      <c r="AJ8" s="61"/>
      <c r="AK8" s="61"/>
    </row>
    <row r="9" spans="2:37" ht="15.75" customHeight="1">
      <c r="B9" s="19" t="str">
        <f>SEC_Processes!D9</f>
        <v>MIN_BC</v>
      </c>
      <c r="C9" s="19" t="str">
        <f>SEC_Processes!E9</f>
        <v>Brown Coal Domestic Supply</v>
      </c>
      <c r="D9" s="20" t="str">
        <f>SEC_Comm!C9</f>
        <v>BC</v>
      </c>
      <c r="E9" s="22">
        <v>7</v>
      </c>
      <c r="F9" s="21"/>
      <c r="G9" s="21"/>
      <c r="H9" s="21"/>
      <c r="J9" s="91"/>
      <c r="K9" s="92"/>
      <c r="L9" s="93"/>
      <c r="N9" s="19" t="str">
        <f t="shared" ref="N9:N13" si="2">B9</f>
        <v>MIN_BC</v>
      </c>
      <c r="O9" s="19" t="str">
        <f t="shared" ref="O9:O13" si="3">C9</f>
        <v>Brown Coal Domestic Supply</v>
      </c>
      <c r="P9" s="20" t="str">
        <f t="shared" ref="P9:P13" si="4">D9</f>
        <v>BC</v>
      </c>
      <c r="Q9" s="64">
        <v>7</v>
      </c>
      <c r="R9" s="22">
        <f>Q9*1.01</f>
        <v>7.07</v>
      </c>
      <c r="S9" s="22">
        <f t="shared" ref="S9:W9" si="5">R9*1.01</f>
        <v>7.1407000000000007</v>
      </c>
      <c r="T9" s="22">
        <f t="shared" si="5"/>
        <v>7.2121070000000005</v>
      </c>
      <c r="U9" s="22">
        <f t="shared" si="5"/>
        <v>7.2842280700000002</v>
      </c>
      <c r="V9" s="22">
        <f t="shared" si="5"/>
        <v>7.3570703506999999</v>
      </c>
      <c r="W9" s="69">
        <f t="shared" si="5"/>
        <v>7.4306410542070003</v>
      </c>
      <c r="X9" s="22"/>
      <c r="Y9" s="22"/>
      <c r="Z9" s="22"/>
      <c r="AA9" s="22"/>
      <c r="AB9" s="22"/>
      <c r="AC9" s="22"/>
      <c r="AD9" s="22"/>
      <c r="AE9" s="64"/>
      <c r="AF9" s="22"/>
      <c r="AG9" s="22"/>
      <c r="AH9" s="22"/>
      <c r="AI9" s="22"/>
      <c r="AJ9" s="22"/>
      <c r="AK9" s="22"/>
    </row>
    <row r="10" spans="2:37" ht="15.75" customHeight="1">
      <c r="B10" s="13" t="str">
        <f>SEC_Processes!D10</f>
        <v>MIN_NAT-GAS</v>
      </c>
      <c r="C10" s="13" t="str">
        <f>SEC_Processes!E10</f>
        <v>Natural Gas Domestic Supply</v>
      </c>
      <c r="D10" s="18" t="str">
        <f>SEC_Comm!C10</f>
        <v>NAT-GAS</v>
      </c>
      <c r="E10" s="15">
        <v>28</v>
      </c>
      <c r="F10" s="14"/>
      <c r="G10" s="14"/>
      <c r="H10" s="14"/>
      <c r="J10" s="91"/>
      <c r="K10" s="92"/>
      <c r="L10" s="93"/>
      <c r="N10" s="13" t="str">
        <f t="shared" si="2"/>
        <v>MIN_NAT-GAS</v>
      </c>
      <c r="O10" s="13" t="str">
        <f t="shared" si="3"/>
        <v>Natural Gas Domestic Supply</v>
      </c>
      <c r="P10" s="18" t="str">
        <f t="shared" si="4"/>
        <v>NAT-GAS</v>
      </c>
      <c r="Q10" s="65">
        <v>28</v>
      </c>
      <c r="R10" s="15">
        <f>Q10*1.03</f>
        <v>28.84</v>
      </c>
      <c r="S10" s="15">
        <f t="shared" ref="S10:W10" si="6">R10*1.03</f>
        <v>29.705200000000001</v>
      </c>
      <c r="T10" s="15">
        <f t="shared" si="6"/>
        <v>30.596356000000004</v>
      </c>
      <c r="U10" s="15">
        <f t="shared" si="6"/>
        <v>31.514246680000003</v>
      </c>
      <c r="V10" s="15">
        <f t="shared" si="6"/>
        <v>32.459674080400006</v>
      </c>
      <c r="W10" s="70">
        <f t="shared" si="6"/>
        <v>33.433464302812006</v>
      </c>
      <c r="X10" s="15"/>
      <c r="Y10" s="15"/>
      <c r="Z10" s="15"/>
      <c r="AA10" s="15"/>
      <c r="AB10" s="15"/>
      <c r="AC10" s="15"/>
      <c r="AD10" s="15"/>
      <c r="AE10" s="65"/>
      <c r="AF10" s="15"/>
      <c r="AG10" s="15"/>
      <c r="AH10" s="15"/>
      <c r="AI10" s="15"/>
      <c r="AJ10" s="15"/>
      <c r="AK10" s="15"/>
    </row>
    <row r="11" spans="2:37" ht="15.75" customHeight="1">
      <c r="B11" s="19" t="str">
        <f>SEC_Processes!D11</f>
        <v>IMP_NAT-GAS</v>
      </c>
      <c r="C11" s="19" t="str">
        <f>SEC_Processes!E11</f>
        <v>Natural Gas Imports</v>
      </c>
      <c r="D11" s="20" t="str">
        <f>SEC_Comm!C10</f>
        <v>NAT-GAS</v>
      </c>
      <c r="E11" s="22">
        <v>30</v>
      </c>
      <c r="F11" s="21"/>
      <c r="G11" s="21"/>
      <c r="H11" s="21"/>
      <c r="J11" s="91"/>
      <c r="K11" s="92"/>
      <c r="L11" s="93"/>
      <c r="N11" s="19" t="str">
        <f t="shared" si="2"/>
        <v>IMP_NAT-GAS</v>
      </c>
      <c r="O11" s="19" t="str">
        <f t="shared" si="3"/>
        <v>Natural Gas Imports</v>
      </c>
      <c r="P11" s="20" t="str">
        <f t="shared" si="4"/>
        <v>NAT-GAS</v>
      </c>
      <c r="Q11" s="64">
        <v>30</v>
      </c>
      <c r="R11" s="22">
        <f>Q11*0.99</f>
        <v>29.7</v>
      </c>
      <c r="S11" s="22">
        <f t="shared" ref="S11:W11" si="7">R11*0.99</f>
        <v>29.402999999999999</v>
      </c>
      <c r="T11" s="22">
        <f t="shared" si="7"/>
        <v>29.108969999999999</v>
      </c>
      <c r="U11" s="22">
        <f t="shared" si="7"/>
        <v>28.817880299999999</v>
      </c>
      <c r="V11" s="22">
        <f t="shared" si="7"/>
        <v>28.529701496999998</v>
      </c>
      <c r="W11" s="69">
        <f t="shared" si="7"/>
        <v>28.244404482029999</v>
      </c>
      <c r="X11" s="22"/>
      <c r="Y11" s="22"/>
      <c r="Z11" s="22"/>
      <c r="AA11" s="22"/>
      <c r="AB11" s="22"/>
      <c r="AC11" s="22"/>
      <c r="AD11" s="22"/>
      <c r="AE11" s="64"/>
      <c r="AF11" s="22"/>
      <c r="AG11" s="22"/>
      <c r="AH11" s="22"/>
      <c r="AI11" s="22"/>
      <c r="AJ11" s="22"/>
      <c r="AK11" s="22"/>
    </row>
    <row r="12" spans="2:37" ht="15.75" customHeight="1">
      <c r="B12" s="13" t="str">
        <f>SEC_Processes!D12</f>
        <v>MIN_WIND-ON</v>
      </c>
      <c r="C12" s="13" t="str">
        <f>SEC_Processes!E12</f>
        <v>Wind Onshore</v>
      </c>
      <c r="D12" s="17" t="str">
        <f>SEC_Comm!C11</f>
        <v>WIND-ON</v>
      </c>
      <c r="E12" s="58">
        <v>1E-3</v>
      </c>
      <c r="F12" s="14"/>
      <c r="G12" s="14"/>
      <c r="H12" s="14"/>
      <c r="J12" s="91"/>
      <c r="K12" s="92"/>
      <c r="L12" s="93"/>
      <c r="N12" s="13" t="str">
        <f t="shared" si="2"/>
        <v>MIN_WIND-ON</v>
      </c>
      <c r="O12" s="13" t="str">
        <f t="shared" si="3"/>
        <v>Wind Onshore</v>
      </c>
      <c r="P12" s="17" t="str">
        <f t="shared" si="4"/>
        <v>WIND-ON</v>
      </c>
      <c r="Q12" s="66">
        <v>1E-3</v>
      </c>
      <c r="R12" s="58">
        <v>1E-3</v>
      </c>
      <c r="S12" s="58">
        <v>1E-3</v>
      </c>
      <c r="T12" s="58">
        <v>1E-3</v>
      </c>
      <c r="U12" s="58">
        <v>1E-3</v>
      </c>
      <c r="V12" s="58">
        <v>1E-3</v>
      </c>
      <c r="W12" s="77">
        <v>1E-3</v>
      </c>
      <c r="X12" s="14"/>
      <c r="Y12" s="14"/>
      <c r="Z12" s="14"/>
      <c r="AA12" s="14"/>
      <c r="AB12" s="14"/>
      <c r="AC12" s="14"/>
      <c r="AD12" s="14"/>
      <c r="AE12" s="75"/>
      <c r="AF12" s="14"/>
      <c r="AG12" s="14"/>
      <c r="AH12" s="14"/>
      <c r="AI12" s="14"/>
      <c r="AJ12" s="14"/>
      <c r="AK12" s="14"/>
    </row>
    <row r="13" spans="2:37" ht="15.75" customHeight="1" thickBot="1">
      <c r="B13" s="23" t="str">
        <f>SEC_Processes!D13</f>
        <v>MIN_SOLAR</v>
      </c>
      <c r="C13" s="23" t="str">
        <f>SEC_Processes!E13</f>
        <v>Solar</v>
      </c>
      <c r="D13" s="24" t="str">
        <f>SEC_Comm!C12</f>
        <v>SOLAR</v>
      </c>
      <c r="E13" s="59">
        <v>1E-3</v>
      </c>
      <c r="F13" s="25"/>
      <c r="G13" s="25"/>
      <c r="H13" s="25"/>
      <c r="J13" s="94"/>
      <c r="K13" s="95"/>
      <c r="L13" s="96"/>
      <c r="N13" s="23" t="str">
        <f t="shared" si="2"/>
        <v>MIN_SOLAR</v>
      </c>
      <c r="O13" s="23" t="str">
        <f t="shared" si="3"/>
        <v>Solar</v>
      </c>
      <c r="P13" s="24" t="str">
        <f t="shared" si="4"/>
        <v>SOLAR</v>
      </c>
      <c r="Q13" s="67">
        <v>1E-3</v>
      </c>
      <c r="R13" s="59">
        <v>1E-3</v>
      </c>
      <c r="S13" s="59">
        <v>1E-3</v>
      </c>
      <c r="T13" s="59">
        <v>1E-3</v>
      </c>
      <c r="U13" s="59">
        <v>1E-3</v>
      </c>
      <c r="V13" s="59">
        <v>1E-3</v>
      </c>
      <c r="W13" s="78">
        <v>1E-3</v>
      </c>
      <c r="X13" s="25"/>
      <c r="Y13" s="25"/>
      <c r="Z13" s="25"/>
      <c r="AA13" s="25"/>
      <c r="AB13" s="25"/>
      <c r="AC13" s="25"/>
      <c r="AD13" s="25"/>
      <c r="AE13" s="76"/>
      <c r="AF13" s="25"/>
      <c r="AG13" s="25"/>
      <c r="AH13" s="25"/>
      <c r="AI13" s="25"/>
      <c r="AJ13" s="25"/>
      <c r="AK13" s="25"/>
    </row>
    <row r="17" spans="2:7" ht="17.5">
      <c r="B17" s="8" t="s">
        <v>147</v>
      </c>
      <c r="C17" s="8"/>
      <c r="D17" s="8"/>
    </row>
    <row r="19" spans="2:7" ht="13">
      <c r="B19" s="54" t="s">
        <v>50</v>
      </c>
      <c r="C19" s="54" t="s">
        <v>110</v>
      </c>
      <c r="D19" s="54" t="s">
        <v>111</v>
      </c>
      <c r="E19" s="54" t="s">
        <v>112</v>
      </c>
      <c r="F19" s="54" t="s">
        <v>6</v>
      </c>
      <c r="G19" s="54" t="s">
        <v>148</v>
      </c>
    </row>
    <row r="20" spans="2:7" ht="37.5">
      <c r="B20" s="55" t="s">
        <v>137</v>
      </c>
      <c r="C20" s="55" t="s">
        <v>60</v>
      </c>
      <c r="D20" s="55" t="s">
        <v>138</v>
      </c>
      <c r="E20" s="55" t="s">
        <v>139</v>
      </c>
      <c r="F20" s="55" t="s">
        <v>149</v>
      </c>
      <c r="G20" s="55" t="s">
        <v>140</v>
      </c>
    </row>
    <row r="21" spans="2:7" ht="52" thickBot="1">
      <c r="B21" s="44" t="s">
        <v>141</v>
      </c>
      <c r="C21" s="44" t="s">
        <v>68</v>
      </c>
      <c r="D21" s="44" t="s">
        <v>142</v>
      </c>
      <c r="E21" s="44" t="s">
        <v>143</v>
      </c>
      <c r="F21" s="44" t="s">
        <v>150</v>
      </c>
      <c r="G21" s="44" t="s">
        <v>145</v>
      </c>
    </row>
    <row r="22" spans="2:7">
      <c r="B22" s="13" t="str">
        <f>B8</f>
        <v>MIN_HC</v>
      </c>
      <c r="C22" s="13" t="str">
        <f>C8</f>
        <v>Hard Coal Domestic Supply</v>
      </c>
      <c r="D22" s="17" t="str">
        <f>D8</f>
        <v>HC</v>
      </c>
      <c r="E22" s="15">
        <f>E8</f>
        <v>15</v>
      </c>
      <c r="F22" s="14" t="s">
        <v>151</v>
      </c>
      <c r="G22" s="14"/>
    </row>
    <row r="23" spans="2:7">
      <c r="B23" s="60"/>
      <c r="C23" s="60"/>
      <c r="D23" s="60"/>
      <c r="E23" s="60"/>
      <c r="F23" s="14" t="s">
        <v>152</v>
      </c>
      <c r="G23" s="60"/>
    </row>
    <row r="24" spans="2:7">
      <c r="B24" s="60"/>
      <c r="C24" s="60"/>
      <c r="D24" s="60"/>
      <c r="E24" s="60"/>
      <c r="F24" s="14" t="s">
        <v>153</v>
      </c>
      <c r="G24" s="60"/>
    </row>
    <row r="25" spans="2:7">
      <c r="B25" s="19" t="str">
        <f t="shared" ref="B25:E29" si="8">B9</f>
        <v>MIN_BC</v>
      </c>
      <c r="C25" s="19" t="str">
        <f t="shared" si="8"/>
        <v>Brown Coal Domestic Supply</v>
      </c>
      <c r="D25" s="20" t="str">
        <f t="shared" si="8"/>
        <v>BC</v>
      </c>
      <c r="E25" s="22">
        <f t="shared" si="8"/>
        <v>7</v>
      </c>
      <c r="F25" s="21"/>
      <c r="G25" s="21"/>
    </row>
    <row r="26" spans="2:7">
      <c r="B26" s="13" t="str">
        <f t="shared" si="8"/>
        <v>MIN_NAT-GAS</v>
      </c>
      <c r="C26" s="13" t="str">
        <f t="shared" si="8"/>
        <v>Natural Gas Domestic Supply</v>
      </c>
      <c r="D26" s="18" t="str">
        <f t="shared" si="8"/>
        <v>NAT-GAS</v>
      </c>
      <c r="E26" s="15">
        <f t="shared" si="8"/>
        <v>28</v>
      </c>
      <c r="F26" s="14"/>
      <c r="G26" s="14"/>
    </row>
    <row r="27" spans="2:7">
      <c r="B27" s="19" t="str">
        <f t="shared" si="8"/>
        <v>IMP_NAT-GAS</v>
      </c>
      <c r="C27" s="19" t="str">
        <f t="shared" si="8"/>
        <v>Natural Gas Imports</v>
      </c>
      <c r="D27" s="20" t="str">
        <f t="shared" si="8"/>
        <v>NAT-GAS</v>
      </c>
      <c r="E27" s="22">
        <f t="shared" si="8"/>
        <v>30</v>
      </c>
      <c r="F27" s="21"/>
      <c r="G27" s="21"/>
    </row>
    <row r="28" spans="2:7">
      <c r="B28" s="13" t="str">
        <f t="shared" si="8"/>
        <v>MIN_WIND-ON</v>
      </c>
      <c r="C28" s="13" t="str">
        <f t="shared" si="8"/>
        <v>Wind Onshore</v>
      </c>
      <c r="D28" s="17" t="str">
        <f t="shared" si="8"/>
        <v>WIND-ON</v>
      </c>
      <c r="E28" s="58">
        <f t="shared" si="8"/>
        <v>1E-3</v>
      </c>
      <c r="F28" s="14"/>
      <c r="G28" s="14"/>
    </row>
    <row r="29" spans="2:7" ht="13" thickBot="1">
      <c r="B29" s="23" t="str">
        <f t="shared" si="8"/>
        <v>MIN_SOLAR</v>
      </c>
      <c r="C29" s="23" t="str">
        <f t="shared" si="8"/>
        <v>Solar</v>
      </c>
      <c r="D29" s="24" t="str">
        <f t="shared" si="8"/>
        <v>SOLAR</v>
      </c>
      <c r="E29" s="59">
        <f t="shared" si="8"/>
        <v>1E-3</v>
      </c>
      <c r="F29" s="25"/>
      <c r="G29" s="25"/>
    </row>
  </sheetData>
  <mergeCells count="8">
    <mergeCell ref="AE6:AK6"/>
    <mergeCell ref="AE7:AK7"/>
    <mergeCell ref="J8:L13"/>
    <mergeCell ref="Q6:W6"/>
    <mergeCell ref="Q7:W7"/>
    <mergeCell ref="X6:AD6"/>
    <mergeCell ref="X7:AD7"/>
    <mergeCell ref="J6:L7"/>
  </mergeCells>
  <phoneticPr fontId="13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2F8DA04F-FDD1-4732-BF50-0D72EF8F2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2000-12-13T15:53:11Z</dcterms:created>
  <dcterms:modified xsi:type="dcterms:W3CDTF">2025-11-17T21:36:38Z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245871961116790</vt:r8>
  </property>
</Properties>
</file>