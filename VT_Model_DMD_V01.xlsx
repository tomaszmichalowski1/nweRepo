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\Veda_models\TIMES_STUDENTS_MID\"/>
    </mc:Choice>
  </mc:AlternateContent>
  <xr:revisionPtr revIDLastSave="0" documentId="13_ncr:1_{07AD999D-5E6B-4E82-9ADF-94E5DDBAC94E}" xr6:coauthVersionLast="47" xr6:coauthVersionMax="47" xr10:uidLastSave="{00000000-0000-0000-0000-000000000000}"/>
  <bookViews>
    <workbookView xWindow="-110" yWindow="-110" windowWidth="38620" windowHeight="21100" tabRatio="901" activeTab="2" xr2:uid="{00000000-000D-0000-FFFF-FFFF00000000}"/>
  </bookViews>
  <sheets>
    <sheet name="BALANCE" sheetId="142" r:id="rId1"/>
    <sheet name="SEC_Comm" sheetId="112" r:id="rId2"/>
    <sheet name="SEC_Processes" sheetId="140" r:id="rId3"/>
    <sheet name="FINAL_DEMAD_PRC" sheetId="139" r:id="rId4"/>
    <sheet name="DEMAND" sheetId="128" r:id="rId5"/>
  </sheets>
  <externalReferences>
    <externalReference r:id="rId6"/>
  </externalReferences>
  <definedNames>
    <definedName name="_Order1">0</definedName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5" i="142" l="1"/>
  <c r="E44" i="142"/>
  <c r="B14" i="128"/>
  <c r="C9" i="128"/>
  <c r="E9" i="128" s="1"/>
  <c r="F9" i="128" s="1"/>
  <c r="G9" i="128" s="1"/>
  <c r="H9" i="128" s="1"/>
  <c r="I9" i="128" s="1"/>
  <c r="J9" i="128" s="1"/>
  <c r="L9" i="128" s="1"/>
  <c r="B9" i="128"/>
  <c r="B9" i="139"/>
  <c r="C9" i="139"/>
  <c r="D9" i="139"/>
  <c r="E9" i="139"/>
  <c r="D9" i="128" l="1"/>
  <c r="C8" i="128"/>
  <c r="D8" i="128" s="1"/>
  <c r="F16" i="142"/>
  <c r="E16" i="142"/>
  <c r="E8" i="128" l="1"/>
  <c r="F8" i="128" s="1"/>
  <c r="G8" i="128" s="1"/>
  <c r="H8" i="128" s="1"/>
  <c r="I8" i="128" s="1"/>
  <c r="J8" i="128" s="1"/>
  <c r="L8" i="128" s="1"/>
  <c r="C8" i="139"/>
  <c r="B8" i="139"/>
  <c r="E8" i="139" l="1"/>
  <c r="D8" i="139"/>
  <c r="B8" i="128" l="1"/>
  <c r="B13" i="1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Maciej Raczyński</author>
    <author>Maurizio Gargiulo</author>
    <author>Amit Kanudia</author>
  </authors>
  <commentList>
    <comment ref="B5" authorId="0" shapeId="0" xr:uid="{00000000-0006-0000-0200-000001000000}">
      <text>
        <r>
          <rPr>
            <sz val="9"/>
            <color indexed="81"/>
            <rFont val="Tahoma"/>
            <family val="2"/>
            <charset val="238"/>
          </rPr>
          <t xml:space="preserve">Dozwolone Zbiory Procesów
ELE (Elektrownia)
CHP (Elektrociepłownia)
STGTSS (Elektrownia Szczyt-Pompowa)
PRE (Dowolny Proces/Technologia)
DMD (Proces Popytu)
IMP (Import)
EXP (Eksport)
MIN (Proces Wydobycia/Kopalnia)
RNW (Technologia Odnawialna*)
HPL (Ciepłownia)
</t>
        </r>
      </text>
    </comment>
    <comment ref="H5" authorId="1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2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1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<sst xmlns="http://schemas.openxmlformats.org/spreadsheetml/2006/main" count="236" uniqueCount="180">
  <si>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</si>
  <si>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</si>
  <si>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</si>
  <si>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</si>
  <si>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</si>
  <si>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</si>
  <si>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</si>
  <si>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</si>
  <si>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</si>
  <si>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</si>
  <si>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</si>
  <si>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r>
      <t>Elektrownie na węglu kamiennym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</si>
  <si>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na węglu brunatnym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</si>
  <si>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Elektrociepłownie na węglu kamiennym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</si>
  <si>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na gazie ziemnym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</si>
  <si>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wiatrowe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</si>
  <si>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słoneczne</t>
    </r>
    <r>
      <rPr>
        <b/>
        <vertAlign val="superscript"/>
        <sz val="10"/>
        <rFont val="Times New Roman"/>
        <family val="1"/>
        <charset val="238"/>
      </rPr>
      <t>1</t>
    </r>
  </si>
  <si>
    <r>
      <t>Ciepłownie</t>
    </r>
    <r>
      <rPr>
        <b/>
        <vertAlign val="superscript"/>
        <sz val="10"/>
        <rFont val="Times New Roman"/>
        <family val="1"/>
        <charset val="238"/>
      </rPr>
      <t>2</t>
    </r>
  </si>
  <si>
    <t>Razem</t>
  </si>
  <si>
    <t>1) opracowanie własne na podstawie "Statystyka Elektroenergetyki Polskiej 2020" - Ministerstwo Klimatu i Środowiska, Agencja Rynku Energii S.A., Warszawa 2021.</t>
  </si>
  <si>
    <t>Nośnik energii</t>
  </si>
  <si>
    <t>Przesył i transformacja</t>
  </si>
  <si>
    <t>Sprawność</t>
  </si>
  <si>
    <t>Energia elektryczna</t>
  </si>
  <si>
    <t>Energia cieplna</t>
  </si>
  <si>
    <t>Jednostka</t>
  </si>
  <si>
    <t>Zapotrzebowanie końcowe</t>
  </si>
  <si>
    <t>[TWh]</t>
  </si>
  <si>
    <t>[PJ]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</si>
  <si>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</si>
  <si>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</si>
  <si>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</si>
  <si>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</si>
  <si>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</si>
  <si>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</si>
  <si>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</si>
  <si>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</si>
  <si>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</si>
  <si>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</si>
  <si>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PJ</t>
  </si>
  <si>
    <t>DAYNITE</t>
  </si>
  <si>
    <t>DEM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</si>
  <si>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</si>
  <si>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</si>
  <si>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</si>
  <si>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</si>
  <si>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</si>
  <si>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</si>
  <si>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</si>
  <si>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</si>
  <si>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</si>
  <si>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</si>
  <si>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DMD</t>
  </si>
  <si>
    <t>PL</t>
  </si>
  <si>
    <t>~FI_T</t>
  </si>
  <si>
    <t>*TechDesc</t>
  </si>
  <si>
    <t>Comm-IN</t>
  </si>
  <si>
    <t>Comm-OUT</t>
  </si>
  <si>
    <t>EFF</t>
  </si>
  <si>
    <t>CAP2ACT</t>
  </si>
  <si>
    <t>~FI_T:DEMAND</t>
  </si>
  <si>
    <t>Demand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</si>
  <si>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</si>
  <si>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</si>
  <si>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</si>
  <si>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</si>
  <si>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</si>
  <si>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</si>
  <si>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</si>
  <si>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</si>
  <si>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</si>
  <si>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</si>
  <si>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</si>
  <si>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</si>
  <si>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</si>
  <si>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</si>
  <si>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</si>
  <si>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</si>
  <si>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</si>
  <si>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</si>
  <si>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</si>
  <si>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</si>
  <si>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</si>
  <si>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</si>
  <si>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</si>
  <si>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</si>
  <si>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Demand Process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</si>
  <si>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</si>
  <si>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</si>
  <si>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</si>
  <si>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</si>
  <si>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</si>
  <si>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</si>
  <si>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</si>
  <si>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</si>
  <si>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HPL</t>
  </si>
  <si>
    <t>Heat Only Plant</t>
  </si>
  <si>
    <t>Low Voltage Electricity (&lt; 1kV)</t>
  </si>
  <si>
    <t>Electricity - Final Energy Demand</t>
  </si>
  <si>
    <t>\I: Technology Name</t>
  </si>
  <si>
    <t>Commodity Input</t>
  </si>
  <si>
    <t>Commodity Output</t>
  </si>
  <si>
    <t>Efficiency</t>
  </si>
  <si>
    <t>Capacity to Activity Factor</t>
  </si>
  <si>
    <t>\I: Commodity Name</t>
  </si>
  <si>
    <t>Final Energy Consumption Technologies</t>
  </si>
  <si>
    <t>Define Commodities</t>
  </si>
  <si>
    <t>Define Processes</t>
  </si>
  <si>
    <t>\I: Predefiniowany zbiór procesów</t>
  </si>
  <si>
    <t>Nazwa regionu</t>
  </si>
  <si>
    <t>Nazwa procesu</t>
  </si>
  <si>
    <t>Opis procesu</t>
  </si>
  <si>
    <t>Jednostka aktywności procesu</t>
  </si>
  <si>
    <t>Jednostka mocy zainstalowanej procesu</t>
  </si>
  <si>
    <t>-</t>
  </si>
  <si>
    <t>PJa</t>
  </si>
  <si>
    <t>Poziom podokresów roku - równanie bilansu</t>
  </si>
  <si>
    <t>\I: Predefiniowany zbiór dóbr</t>
  </si>
  <si>
    <t>Nazwa dobra</t>
  </si>
  <si>
    <t>Opis sobra</t>
  </si>
  <si>
    <t>Jednostka dobra</t>
  </si>
  <si>
    <t>Oznaczenie dobra "energia elektryczna" dla CHP</t>
  </si>
  <si>
    <t>Dobro na wejściu</t>
  </si>
  <si>
    <t>Dobro na wyjściu</t>
  </si>
  <si>
    <t>Przelicz</t>
  </si>
  <si>
    <t>\I: Nazwa procesu</t>
  </si>
  <si>
    <t>\I: Nazwa dobra (popytowego)</t>
  </si>
  <si>
    <t>Should have a Commodity of type DEM at its output</t>
  </si>
  <si>
    <t>ELEC_LV</t>
  </si>
  <si>
    <t>ELEC_FIN</t>
  </si>
  <si>
    <t>Electricity - Final Energy</t>
  </si>
  <si>
    <t>Net Electric Power</t>
  </si>
  <si>
    <t>Net electricity generation</t>
  </si>
  <si>
    <t>Net heat generation</t>
  </si>
  <si>
    <t>Fuel used</t>
  </si>
  <si>
    <t>Average lower heating valuee</t>
  </si>
  <si>
    <t>kt</t>
  </si>
  <si>
    <t>Hard coal fired Electricity only power plants</t>
  </si>
  <si>
    <t>Brown coal fired Electricity only power plants</t>
  </si>
  <si>
    <t>Hard coal fired Combined Heat &amp; Power power plants</t>
  </si>
  <si>
    <t>Natural gas fired Electricity only power plants</t>
  </si>
  <si>
    <t>Onshore Wind Turbines</t>
  </si>
  <si>
    <t>Large Scale Photovoltaics</t>
  </si>
  <si>
    <t>Hard coal fired Heat only plants</t>
  </si>
  <si>
    <t>Total</t>
  </si>
  <si>
    <t>Typ jednostki wytwórczej</t>
  </si>
  <si>
    <t>Generation unit type</t>
  </si>
  <si>
    <t>Energy carrier</t>
  </si>
  <si>
    <t>Transmission and distribution</t>
  </si>
  <si>
    <t>SN-nn | MV-LV</t>
  </si>
  <si>
    <t>WT-NT | HT-LT</t>
  </si>
  <si>
    <t>Electricity</t>
  </si>
  <si>
    <t>District Heat</t>
  </si>
  <si>
    <t>Final energy demand</t>
  </si>
  <si>
    <t>Source / Źródło:</t>
  </si>
  <si>
    <t>Tabela 1: Uproszczony bilans energii dla polskiego systemu elektroenergetycznego w 2020 r.</t>
  </si>
  <si>
    <t>Table 1: Simple energy balance of Polish energy system in 2020</t>
  </si>
  <si>
    <t>Tabela 2: Efficiency of Transmission and distribution of energy carriers in 2020</t>
  </si>
  <si>
    <t>Tabela 2: Sprawności przesyłu i transformacji nośników energii w sieci w 2020 r.</t>
  </si>
  <si>
    <t>Table 3: Final energy demand in 2020</t>
  </si>
  <si>
    <t>Tabela 3: Zapotrzebowanie na energię końcową w 2020 r.</t>
  </si>
  <si>
    <t>* Energy Balance / Bilans energii</t>
  </si>
  <si>
    <t>2) opracowanie własne na podstawie "Energetyka Cieplna w Liczbach 2021" - Urząd Regulacji Energetyki, Warszawa 2022.</t>
  </si>
  <si>
    <t>3) EUROSTAT NRG_BAL, NRG_BAL_PEH.</t>
  </si>
  <si>
    <t>* Transmission &amp; Distribution Losses / Straty przesyłu i dystrybucji</t>
  </si>
  <si>
    <t>WN-WN | HV-HV</t>
  </si>
  <si>
    <t>WN-SN | HV-MV</t>
  </si>
  <si>
    <t>* Final Energy Demand / Popyt na energię finalną</t>
  </si>
  <si>
    <t>5-year change (demand forecast)</t>
  </si>
  <si>
    <t>No tag - won't be read by Veda</t>
  </si>
  <si>
    <t>Annual Demand Value [PJ/a]</t>
  </si>
  <si>
    <t>Roczna wartość popytu [PJ/a]</t>
  </si>
  <si>
    <t>Copy from ELC</t>
  </si>
  <si>
    <t>HEAT_FIN</t>
  </si>
  <si>
    <t>District Heat - Final Energy</t>
  </si>
  <si>
    <t>HEAT_DH</t>
  </si>
  <si>
    <t>District Heating</t>
  </si>
  <si>
    <t>HEAT_FIN_DMD</t>
  </si>
  <si>
    <t>ELEC_FIN_DMD</t>
  </si>
  <si>
    <t>Heat - Final Energy Demand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</si>
</sst>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Te\x\t"/>
    <numFmt numFmtId="165" formatCode="#,##0___)"/>
    <numFmt numFmtId="166" formatCode="#,##0.000___)"/>
    <numFmt numFmtId="167" formatCode="0.000"/>
  </numFmts>
  <fonts count="27" x14ac:knownFonts="1">
    <font>
      <sz val="10"/>
      <name val="Arial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10"/>
      <name val="Arial"/>
      <family val="2"/>
      <charset val="238"/>
    </font>
    <font>
      <sz val="9"/>
      <color indexed="81"/>
      <name val="Tahoma"/>
      <family val="2"/>
      <charset val="238"/>
    </font>
    <font>
      <sz val="12"/>
      <color indexed="9"/>
      <name val="Arial"/>
      <family val="2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vertAlign val="superscript"/>
      <sz val="10"/>
      <name val="Times New Roman"/>
      <family val="1"/>
      <charset val="238"/>
    </font>
    <font>
      <sz val="12"/>
      <name val="Times New Roman"/>
      <family val="1"/>
      <charset val="238"/>
    </font>
    <font>
      <sz val="14"/>
      <name val="Times New Roman"/>
      <family val="1"/>
      <charset val="238"/>
    </font>
    <font>
      <b/>
      <vertAlign val="superscript"/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</font>
    <font>
      <sz val="10"/>
      <color rgb="FF000000"/>
      <name val="Arial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2F0E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9" fontId="12" fillId="0" borderId="0" applyFont="0" applyFill="0" applyBorder="0" applyAlignment="0" applyProtection="0"/>
    <xf numFmtId="0" fontId="12" fillId="0" borderId="0"/>
    <xf numFmtId="0" fontId="20" fillId="0" borderId="0"/>
    <xf numFmtId="0" fontId="21" fillId="0" borderId="0"/>
    <xf numFmtId="9" fontId="25" fillId="0" borderId="0" applyFont="0" applyFill="0" applyBorder="0" applyAlignment="0" applyProtection="0"/>
  </cellStyleXfs>
  <cellXfs count="103">
    <xf numFmtId="0" fontId="0" fillId="0" borderId="0" xfId="0"/>
    <xf numFmtId="0" fontId="18" fillId="0" borderId="14" xfId="4" applyFont="1" applyBorder="1" applyAlignment="1">
      <alignment horizontal="center" vertical="center" wrapText="1"/>
    </xf>
    <xf numFmtId="0" fontId="18" fillId="0" borderId="13" xfId="4" applyFont="1" applyBorder="1" applyAlignment="1">
      <alignment horizontal="center" vertical="center"/>
    </xf>
    <xf numFmtId="0" fontId="18" fillId="0" borderId="5" xfId="4" applyFont="1" applyBorder="1" applyAlignment="1">
      <alignment horizontal="center" vertical="center"/>
    </xf>
    <xf numFmtId="0" fontId="17" fillId="0" borderId="16" xfId="4" applyFont="1" applyBorder="1"/>
    <xf numFmtId="9" fontId="0" fillId="0" borderId="0" xfId="3" applyFont="1"/>
    <xf numFmtId="0" fontId="17" fillId="0" borderId="15" xfId="4" applyFont="1" applyBorder="1"/>
    <xf numFmtId="0" fontId="18" fillId="0" borderId="14" xfId="4" applyFont="1" applyBorder="1" applyAlignment="1">
      <alignment horizontal="center" vertical="center"/>
    </xf>
    <xf numFmtId="0" fontId="18" fillId="0" borderId="6" xfId="4" applyFont="1" applyBorder="1" applyAlignment="1">
      <alignment horizontal="center" vertical="center"/>
    </xf>
    <xf numFmtId="0" fontId="24" fillId="0" borderId="0" xfId="4" applyFont="1"/>
    <xf numFmtId="0" fontId="13" fillId="0" borderId="0" xfId="4" applyFont="1"/>
    <xf numFmtId="0" fontId="18" fillId="0" borderId="16" xfId="4" applyFont="1" applyBorder="1" applyAlignment="1">
      <alignment horizontal="left"/>
    </xf>
    <xf numFmtId="0" fontId="18" fillId="0" borderId="15" xfId="4" applyFont="1" applyBorder="1" applyAlignment="1">
      <alignment horizontal="left"/>
    </xf>
    <xf numFmtId="0" fontId="18" fillId="0" borderId="7" xfId="4" applyFont="1" applyBorder="1" applyAlignment="1">
      <alignment horizontal="left"/>
    </xf>
    <xf numFmtId="0" fontId="18" fillId="0" borderId="13" xfId="4" applyFont="1" applyBorder="1" applyAlignment="1">
      <alignment horizontal="center" vertical="center" wrapText="1"/>
    </xf>
    <xf numFmtId="164" fontId="3" fillId="3" borderId="3" xfId="1" applyNumberFormat="1" applyFill="1" applyBorder="1" applyAlignment="1">
      <alignment horizontal="center" vertical="center" wrapText="1"/>
    </xf>
    <xf numFmtId="164" fontId="3" fillId="3" borderId="4" xfId="1" applyNumberFormat="1" applyFill="1" applyBorder="1" applyAlignment="1">
      <alignment horizontal="center" vertical="center" wrapText="1"/>
    </xf>
    <xf numFmtId="0" fontId="12" fillId="0" borderId="0" xfId="0" applyFont="1"/>
    <xf numFmtId="0" fontId="4" fillId="0" borderId="0" xfId="0" applyFont="1" applyAlignment="1">
      <alignment horizontal="left" wrapText="1"/>
    </xf>
    <xf numFmtId="0" fontId="5" fillId="0" borderId="0" xfId="0" applyFont="1"/>
    <xf numFmtId="0" fontId="8" fillId="0" borderId="0" xfId="0" applyFont="1"/>
    <xf numFmtId="0" fontId="3" fillId="0" borderId="0" xfId="2"/>
    <xf numFmtId="0" fontId="5" fillId="0" borderId="0" xfId="2" applyFont="1" applyAlignment="1">
      <alignment horizontal="left"/>
    </xf>
    <xf numFmtId="0" fontId="5" fillId="0" borderId="0" xfId="0" quotePrefix="1" applyFont="1" applyAlignment="1">
      <alignment horizontal="left"/>
    </xf>
    <xf numFmtId="0" fontId="4" fillId="0" borderId="0" xfId="0" applyFont="1"/>
    <xf numFmtId="164" fontId="2" fillId="4" borderId="0" xfId="0" applyNumberFormat="1" applyFont="1" applyFill="1"/>
    <xf numFmtId="164" fontId="3" fillId="0" borderId="0" xfId="0" applyNumberFormat="1" applyFont="1"/>
    <xf numFmtId="164" fontId="5" fillId="0" borderId="0" xfId="0" applyNumberFormat="1" applyFont="1"/>
    <xf numFmtId="164" fontId="0" fillId="0" borderId="0" xfId="0" applyNumberFormat="1"/>
    <xf numFmtId="0" fontId="3" fillId="5" borderId="0" xfId="0" applyFont="1" applyFill="1"/>
    <xf numFmtId="164" fontId="0" fillId="5" borderId="0" xfId="0" applyNumberFormat="1" applyFill="1"/>
    <xf numFmtId="0" fontId="12" fillId="5" borderId="0" xfId="0" applyFont="1" applyFill="1" applyAlignment="1">
      <alignment horizontal="left"/>
    </xf>
    <xf numFmtId="164" fontId="12" fillId="5" borderId="0" xfId="0" applyNumberFormat="1" applyFont="1" applyFill="1"/>
    <xf numFmtId="0" fontId="12" fillId="6" borderId="4" xfId="0" applyFont="1" applyFill="1" applyBorder="1"/>
    <xf numFmtId="0" fontId="3" fillId="6" borderId="4" xfId="0" applyFont="1" applyFill="1" applyBorder="1"/>
    <xf numFmtId="164" fontId="0" fillId="6" borderId="4" xfId="0" applyNumberFormat="1" applyFill="1" applyBorder="1"/>
    <xf numFmtId="164" fontId="12" fillId="6" borderId="4" xfId="0" applyNumberFormat="1" applyFont="1" applyFill="1" applyBorder="1"/>
    <xf numFmtId="0" fontId="12" fillId="0" borderId="0" xfId="0" applyFont="1" applyAlignment="1" applyProtection="1">
      <alignment vertical="top"/>
      <protection locked="0"/>
    </xf>
    <xf numFmtId="164" fontId="1" fillId="2" borderId="3" xfId="0" applyNumberFormat="1" applyFont="1" applyFill="1" applyBorder="1" applyAlignment="1">
      <alignment horizontal="center" vertical="center"/>
    </xf>
    <xf numFmtId="0" fontId="16" fillId="4" borderId="0" xfId="4" quotePrefix="1" applyFont="1" applyFill="1" applyAlignment="1">
      <alignment horizontal="left"/>
    </xf>
    <xf numFmtId="0" fontId="12" fillId="0" borderId="0" xfId="4"/>
    <xf numFmtId="0" fontId="17" fillId="0" borderId="0" xfId="4" applyFont="1"/>
    <xf numFmtId="0" fontId="18" fillId="0" borderId="5" xfId="4" applyFont="1" applyBorder="1" applyAlignment="1">
      <alignment horizontal="center" vertical="center" wrapText="1"/>
    </xf>
    <xf numFmtId="0" fontId="18" fillId="0" borderId="6" xfId="4" applyFont="1" applyBorder="1" applyAlignment="1">
      <alignment horizontal="center" vertical="center" wrapText="1"/>
    </xf>
    <xf numFmtId="0" fontId="17" fillId="0" borderId="1" xfId="4" applyFont="1" applyBorder="1" applyAlignment="1">
      <alignment horizontal="center"/>
    </xf>
    <xf numFmtId="0" fontId="17" fillId="0" borderId="8" xfId="4" applyFont="1" applyBorder="1" applyAlignment="1">
      <alignment horizontal="center"/>
    </xf>
    <xf numFmtId="0" fontId="18" fillId="0" borderId="7" xfId="5" applyFont="1" applyBorder="1" applyAlignment="1">
      <alignment horizontal="left" vertical="center"/>
    </xf>
    <xf numFmtId="165" fontId="17" fillId="0" borderId="1" xfId="6" applyNumberFormat="1" applyFont="1" applyBorder="1" applyAlignment="1">
      <alignment horizontal="center" vertical="center"/>
    </xf>
    <xf numFmtId="165" fontId="17" fillId="0" borderId="8" xfId="6" applyNumberFormat="1" applyFont="1" applyBorder="1" applyAlignment="1">
      <alignment horizontal="center" vertical="center"/>
    </xf>
    <xf numFmtId="166" fontId="17" fillId="0" borderId="1" xfId="6" applyNumberFormat="1" applyFont="1" applyBorder="1" applyAlignment="1">
      <alignment horizontal="center" vertical="center"/>
    </xf>
    <xf numFmtId="0" fontId="18" fillId="0" borderId="9" xfId="4" applyFont="1" applyBorder="1" applyAlignment="1">
      <alignment horizontal="left"/>
    </xf>
    <xf numFmtId="165" fontId="17" fillId="0" borderId="2" xfId="6" applyNumberFormat="1" applyFont="1" applyBorder="1" applyAlignment="1">
      <alignment horizontal="center" vertical="center"/>
    </xf>
    <xf numFmtId="165" fontId="18" fillId="0" borderId="2" xfId="6" applyNumberFormat="1" applyFont="1" applyBorder="1" applyAlignment="1">
      <alignment horizontal="center" vertical="center"/>
    </xf>
    <xf numFmtId="165" fontId="17" fillId="0" borderId="10" xfId="6" applyNumberFormat="1" applyFont="1" applyBorder="1" applyAlignment="1">
      <alignment horizontal="center" vertical="center"/>
    </xf>
    <xf numFmtId="0" fontId="17" fillId="0" borderId="7" xfId="4" applyFont="1" applyBorder="1"/>
    <xf numFmtId="167" fontId="17" fillId="0" borderId="8" xfId="4" applyNumberFormat="1" applyFont="1" applyBorder="1" applyAlignment="1">
      <alignment horizontal="center" vertical="center"/>
    </xf>
    <xf numFmtId="0" fontId="17" fillId="0" borderId="9" xfId="4" applyFont="1" applyBorder="1"/>
    <xf numFmtId="0" fontId="17" fillId="0" borderId="2" xfId="4" applyFont="1" applyBorder="1" applyAlignment="1">
      <alignment horizontal="center"/>
    </xf>
    <xf numFmtId="167" fontId="17" fillId="0" borderId="10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2" fillId="7" borderId="0" xfId="0" applyFont="1" applyFill="1"/>
    <xf numFmtId="0" fontId="12" fillId="8" borderId="0" xfId="0" applyFont="1" applyFill="1"/>
    <xf numFmtId="0" fontId="12" fillId="7" borderId="11" xfId="0" applyFont="1" applyFill="1" applyBorder="1"/>
    <xf numFmtId="167" fontId="3" fillId="5" borderId="0" xfId="0" applyNumberFormat="1" applyFont="1" applyFill="1"/>
    <xf numFmtId="167" fontId="3" fillId="6" borderId="4" xfId="0" applyNumberFormat="1" applyFont="1" applyFill="1" applyBorder="1"/>
    <xf numFmtId="167" fontId="0" fillId="0" borderId="0" xfId="0" applyNumberFormat="1"/>
    <xf numFmtId="167" fontId="0" fillId="6" borderId="4" xfId="0" applyNumberFormat="1" applyFill="1" applyBorder="1"/>
    <xf numFmtId="164" fontId="2" fillId="4" borderId="0" xfId="0" quotePrefix="1" applyNumberFormat="1" applyFont="1" applyFill="1"/>
    <xf numFmtId="0" fontId="2" fillId="4" borderId="0" xfId="0" quotePrefix="1" applyFont="1" applyFill="1"/>
    <xf numFmtId="0" fontId="6" fillId="4" borderId="0" xfId="0" applyFont="1" applyFill="1"/>
    <xf numFmtId="0" fontId="2" fillId="4" borderId="0" xfId="0" applyFont="1" applyFill="1"/>
    <xf numFmtId="0" fontId="3" fillId="3" borderId="3" xfId="1" applyFill="1" applyBorder="1" applyAlignment="1">
      <alignment horizontal="center" vertical="center" wrapText="1"/>
    </xf>
    <xf numFmtId="0" fontId="3" fillId="3" borderId="4" xfId="1" quotePrefix="1" applyFill="1" applyBorder="1" applyAlignment="1">
      <alignment horizontal="center" vertical="center" wrapText="1"/>
    </xf>
    <xf numFmtId="9" fontId="0" fillId="0" borderId="0" xfId="0" applyNumberFormat="1"/>
    <xf numFmtId="2" fontId="14" fillId="5" borderId="0" xfId="0" applyNumberFormat="1" applyFont="1" applyFill="1"/>
    <xf numFmtId="2" fontId="12" fillId="5" borderId="0" xfId="0" applyNumberFormat="1" applyFont="1" applyFill="1"/>
    <xf numFmtId="2" fontId="14" fillId="6" borderId="4" xfId="0" applyNumberFormat="1" applyFont="1" applyFill="1" applyBorder="1"/>
    <xf numFmtId="2" fontId="12" fillId="6" borderId="4" xfId="0" applyNumberFormat="1" applyFont="1" applyFill="1" applyBorder="1"/>
    <xf numFmtId="0" fontId="1" fillId="2" borderId="3" xfId="0" applyFont="1" applyFill="1" applyBorder="1" applyAlignment="1">
      <alignment horizontal="center" vertical="center"/>
    </xf>
    <xf numFmtId="0" fontId="18" fillId="0" borderId="15" xfId="5" applyFont="1" applyBorder="1" applyAlignment="1">
      <alignment horizontal="left" vertical="center"/>
    </xf>
    <xf numFmtId="164" fontId="3" fillId="3" borderId="21" xfId="1" applyNumberFormat="1" applyFill="1" applyBorder="1" applyAlignment="1">
      <alignment horizontal="center" vertical="center" wrapText="1"/>
    </xf>
    <xf numFmtId="164" fontId="3" fillId="3" borderId="21" xfId="1" quotePrefix="1" applyNumberFormat="1" applyFill="1" applyBorder="1" applyAlignment="1">
      <alignment horizontal="center" vertical="center" wrapText="1"/>
    </xf>
    <xf numFmtId="164" fontId="26" fillId="7" borderId="3" xfId="0" applyNumberFormat="1" applyFont="1" applyFill="1" applyBorder="1"/>
    <xf numFmtId="164" fontId="26" fillId="10" borderId="22" xfId="0" applyNumberFormat="1" applyFont="1" applyFill="1" applyBorder="1"/>
    <xf numFmtId="164" fontId="1" fillId="2" borderId="23" xfId="0" applyNumberFormat="1" applyFont="1" applyFill="1" applyBorder="1" applyAlignment="1">
      <alignment horizontal="center" vertical="center"/>
    </xf>
    <xf numFmtId="164" fontId="26" fillId="10" borderId="21" xfId="0" applyNumberFormat="1" applyFont="1" applyFill="1" applyBorder="1" applyAlignment="1">
      <alignment horizontal="left"/>
    </xf>
    <xf numFmtId="164" fontId="26" fillId="5" borderId="0" xfId="0" applyNumberFormat="1" applyFont="1" applyFill="1" applyAlignment="1">
      <alignment horizontal="left"/>
    </xf>
    <xf numFmtId="9" fontId="12" fillId="0" borderId="0" xfId="7" applyFont="1"/>
    <xf numFmtId="9" fontId="12" fillId="5" borderId="0" xfId="7" applyFont="1" applyFill="1"/>
    <xf numFmtId="0" fontId="18" fillId="0" borderId="19" xfId="4" applyFont="1" applyBorder="1" applyAlignment="1">
      <alignment horizontal="center" vertical="center" wrapText="1"/>
    </xf>
    <xf numFmtId="0" fontId="18" fillId="0" borderId="20" xfId="4" applyFont="1" applyBorder="1" applyAlignment="1">
      <alignment horizontal="center" vertical="center" wrapText="1"/>
    </xf>
    <xf numFmtId="0" fontId="18" fillId="0" borderId="12" xfId="4" applyFont="1" applyBorder="1" applyAlignment="1">
      <alignment horizontal="center" vertical="center" wrapText="1"/>
    </xf>
    <xf numFmtId="0" fontId="18" fillId="0" borderId="17" xfId="4" applyFont="1" applyBorder="1" applyAlignment="1">
      <alignment horizontal="center" vertical="center" wrapText="1"/>
    </xf>
    <xf numFmtId="0" fontId="18" fillId="0" borderId="18" xfId="4" applyFont="1" applyBorder="1" applyAlignment="1">
      <alignment horizontal="center" vertical="center" wrapText="1"/>
    </xf>
    <xf numFmtId="0" fontId="18" fillId="0" borderId="13" xfId="4" applyFont="1" applyBorder="1" applyAlignment="1">
      <alignment horizontal="center" vertical="center" wrapText="1"/>
    </xf>
    <xf numFmtId="0" fontId="18" fillId="0" borderId="19" xfId="4" applyFont="1" applyBorder="1" applyAlignment="1">
      <alignment horizontal="center" vertical="center"/>
    </xf>
    <xf numFmtId="0" fontId="18" fillId="0" borderId="12" xfId="4" applyFont="1" applyBorder="1" applyAlignment="1">
      <alignment horizontal="center" vertical="center"/>
    </xf>
    <xf numFmtId="0" fontId="18" fillId="0" borderId="17" xfId="4" applyFont="1" applyBorder="1" applyAlignment="1">
      <alignment horizontal="center" vertical="center"/>
    </xf>
    <xf numFmtId="0" fontId="18" fillId="0" borderId="13" xfId="4" applyFont="1" applyBorder="1" applyAlignment="1">
      <alignment horizontal="center" vertical="center"/>
    </xf>
    <xf numFmtId="0" fontId="23" fillId="9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164" fontId="3" fillId="3" borderId="4" xfId="1" applyNumberFormat="1" applyFill="1" applyBorder="1" applyAlignment="1">
      <alignment horizontal="center" vertical="center" wrapText="1"/>
    </xf>
    <xf numFmtId="164" fontId="3" fillId="3" borderId="3" xfId="1" applyNumberFormat="1" applyFill="1" applyBorder="1" applyAlignment="1">
      <alignment horizontal="center" vertical="center" wrapText="1"/>
    </xf>
  </cellXfs>
  <cellStyles count="8">
    <cellStyle name="Normal 10" xfId="1" xr:uid="{00000000-0005-0000-0000-000016030000}"/>
    <cellStyle name="Normal 4" xfId="2" xr:uid="{00000000-0005-0000-0000-00001F030000}"/>
    <cellStyle name="Normal 5" xfId="4" xr:uid="{00000000-0005-0000-0000-000021030000}"/>
    <cellStyle name="Normalny" xfId="0" builtinId="0"/>
    <cellStyle name="Normalny_S301-339-05" xfId="6" xr:uid="{00000000-0005-0000-0000-00009D030000}"/>
    <cellStyle name="Normalny_T206" xfId="5" xr:uid="{00000000-0005-0000-0000-00009E030000}"/>
    <cellStyle name="Per cent 2" xfId="3" xr:uid="{DDC5681C-F033-4AC5-9897-895307FDA964}"/>
    <cellStyle name="Procentowy" xfId="7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1249680</xdr:colOff>
      <xdr:row>0</xdr:row>
      <xdr:rowOff>38100</xdr:rowOff>
    </xdr:from>
    <xdr:to>
      <xdr:col>10</xdr:col>
      <xdr:colOff>373380</xdr:colOff>
      <xdr:row>3</xdr:row>
      <xdr:rowOff>99060</xdr:rowOff>
    </xdr:to>
    <xdr:grpSp>
      <xdr:nvGrpSpPr>
        <xdr:cNvPr id="5" name="Grupa 4">
          <a:extLst>
            <a:ext uri="{FF2B5EF4-FFF2-40B4-BE49-F238E27FC236}">
              <a16:creationId xmlns:a16="http://schemas.microsoft.com/office/drawing/2014/main" id="{F4A1F753-6279-8C0D-F890-0048824C12C9}"/>
            </a:ext>
          </a:extLst>
        </xdr:cNvPr>
        <xdr:cNvGrpSpPr/>
      </xdr:nvGrpSpPr>
      <xdr:grpSpPr>
        <a:xfrm>
          <a:off x="1452880" y="38100"/>
          <a:ext cx="5753100" cy="600710"/>
          <a:chOff x="1447800" y="38100"/>
          <a:chExt cx="4770120" cy="617220"/>
        </a:xfrm>
      </xdr:grpSpPr>
      <xdr:sp macro="" textlink="">
        <xdr:nvSpPr>
          <xdr:cNvPr id="2" name="pole tekstowe 1">
            <a:extLst>
              <a:ext uri="{FF2B5EF4-FFF2-40B4-BE49-F238E27FC236}">
                <a16:creationId xmlns:a16="http://schemas.microsoft.com/office/drawing/2014/main" id="{8D8D8F8F-BC55-C4F7-8A59-77F3EE8E5FB9}"/>
              </a:ext>
            </a:extLst>
          </xdr:cNvPr>
          <xdr:cNvSpPr txBox="1"/>
        </xdr:nvSpPr>
        <xdr:spPr>
          <a:xfrm>
            <a:off x="2560320" y="38100"/>
            <a:ext cx="3657600" cy="617220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l-PL" sz="1400"/>
              <a:t>The Veda tag syntax </a:t>
            </a:r>
            <a:r>
              <a:rPr lang="pl-PL" sz="1400" b="1"/>
              <a:t>~FI_T:AttributeName </a:t>
            </a:r>
            <a:r>
              <a:rPr lang="pl-PL" sz="1400"/>
              <a:t>is useful when all the data in the table relates to a single attribute.</a:t>
            </a:r>
          </a:p>
        </xdr:txBody>
      </xdr:sp>
      <xdr:cxnSp macro="">
        <xdr:nvCxnSpPr>
          <xdr:cNvPr id="4" name="Łącznik prosty ze strzałką 3">
            <a:extLst>
              <a:ext uri="{FF2B5EF4-FFF2-40B4-BE49-F238E27FC236}">
                <a16:creationId xmlns:a16="http://schemas.microsoft.com/office/drawing/2014/main" id="{F6D46056-173D-CCB3-8E57-EFD4433D6F36}"/>
              </a:ext>
            </a:extLst>
          </xdr:cNvPr>
          <xdr:cNvCxnSpPr>
            <a:stCxn id="2" idx="1"/>
          </xdr:cNvCxnSpPr>
        </xdr:nvCxnSpPr>
        <xdr:spPr bwMode="auto">
          <a:xfrm flipH="1">
            <a:off x="1447800" y="346710"/>
            <a:ext cx="1112520" cy="262890"/>
          </a:xfrm>
          <a:prstGeom prst="straightConnector1">
            <a:avLst/>
          </a:prstGeom>
          <a:ln w="19050" cap="flat" cmpd="sng" algn="ctr">
            <a:solidFill>
              <a:schemeClr val="accent4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43E0-1E87-45A7-98CA-E678762B7428}">
  <dimension ref="B2:J50"/>
  <sheetViews>
    <sheetView topLeftCell="A17" zoomScale="130" zoomScaleNormal="130" workbookViewId="0">
      <selection activeCell="E46" sqref="E46"/>
    </sheetView>
  </sheetViews>
  <sheetFormatPr defaultColWidth="8.90625" defaultRowHeight="12.5" x14ac:dyDescent="0.25"/>
  <cols>
    <col min="1" max="1" width="2.90625" style="40" customWidth="1"/>
    <col min="2" max="2" width="36.54296875" style="40" customWidth="1"/>
    <col min="3" max="3" width="49.453125" style="40" customWidth="1"/>
    <col min="4" max="4" width="15" style="40" customWidth="1"/>
    <col min="5" max="5" width="14.90625" style="40" customWidth="1"/>
    <col min="6" max="6" width="10.6328125" style="40" customWidth="1"/>
    <col min="7" max="7" width="10" style="40" customWidth="1"/>
    <col min="8" max="8" width="12" style="40" customWidth="1"/>
    <col min="9" max="9" width="11" style="40" customWidth="1"/>
    <col min="10" max="10" width="10.54296875" style="40" customWidth="1"/>
    <col min="11" max="16384" width="8.90625" style="40"/>
  </cols>
  <sheetData>
    <row r="2" spans="2:10" ht="15.5" x14ac:dyDescent="0.35">
      <c r="B2" s="39" t="s">
        <v>161</v>
      </c>
      <c r="C2" s="39"/>
    </row>
    <row r="4" spans="2:10" ht="13" x14ac:dyDescent="0.3">
      <c r="B4" s="41" t="s">
        <v>155</v>
      </c>
      <c r="C4" s="41"/>
    </row>
    <row r="5" spans="2:10" ht="13.5" thickBot="1" x14ac:dyDescent="0.35">
      <c r="B5" s="41" t="s">
        <v>156</v>
      </c>
      <c r="C5" s="41"/>
    </row>
    <row r="6" spans="2:10" ht="39" x14ac:dyDescent="0.25">
      <c r="B6" s="89" t="s">
        <v>145</v>
      </c>
      <c r="C6" s="92" t="s">
        <v>146</v>
      </c>
      <c r="D6" s="42" t="s">
        <v>0</v>
      </c>
      <c r="E6" s="42" t="s">
        <v>1</v>
      </c>
      <c r="F6" s="42" t="s">
        <v>2</v>
      </c>
      <c r="G6" s="42" t="s">
        <v>3</v>
      </c>
      <c r="H6" s="42" t="s">
        <v>4</v>
      </c>
      <c r="I6" s="42" t="s">
        <v>3</v>
      </c>
      <c r="J6" s="43" t="s">
        <v>4</v>
      </c>
    </row>
    <row r="7" spans="2:10" ht="52" x14ac:dyDescent="0.25">
      <c r="B7" s="90"/>
      <c r="C7" s="93"/>
      <c r="D7" s="14" t="s">
        <v>131</v>
      </c>
      <c r="E7" s="14" t="s">
        <v>132</v>
      </c>
      <c r="F7" s="14" t="s">
        <v>133</v>
      </c>
      <c r="G7" s="14" t="s">
        <v>134</v>
      </c>
      <c r="H7" s="14" t="s">
        <v>135</v>
      </c>
      <c r="I7" s="14" t="s">
        <v>134</v>
      </c>
      <c r="J7" s="14" t="s">
        <v>135</v>
      </c>
    </row>
    <row r="8" spans="2:10" ht="15.5" x14ac:dyDescent="0.3">
      <c r="B8" s="91"/>
      <c r="C8" s="94"/>
      <c r="D8" s="44" t="s">
        <v>5</v>
      </c>
      <c r="E8" s="44" t="s">
        <v>6</v>
      </c>
      <c r="F8" s="44" t="s">
        <v>7</v>
      </c>
      <c r="G8" s="44" t="s">
        <v>136</v>
      </c>
      <c r="H8" s="44" t="s">
        <v>8</v>
      </c>
      <c r="I8" s="44" t="s">
        <v>9</v>
      </c>
      <c r="J8" s="45" t="s">
        <v>10</v>
      </c>
    </row>
    <row r="9" spans="2:10" ht="15" x14ac:dyDescent="0.25">
      <c r="B9" s="46" t="s">
        <v>11</v>
      </c>
      <c r="C9" s="79" t="s">
        <v>137</v>
      </c>
      <c r="D9" s="47">
        <v>17023.8</v>
      </c>
      <c r="E9" s="47">
        <v>47860</v>
      </c>
      <c r="F9" s="47"/>
      <c r="G9" s="47">
        <v>20996.9</v>
      </c>
      <c r="H9" s="47">
        <v>21688.2</v>
      </c>
      <c r="I9" s="47"/>
      <c r="J9" s="48"/>
    </row>
    <row r="10" spans="2:10" ht="15" x14ac:dyDescent="0.25">
      <c r="B10" s="46" t="s">
        <v>12</v>
      </c>
      <c r="C10" s="79" t="s">
        <v>138</v>
      </c>
      <c r="D10" s="47">
        <v>7391.2</v>
      </c>
      <c r="E10" s="47">
        <v>34351.700000000004</v>
      </c>
      <c r="F10" s="47"/>
      <c r="G10" s="47">
        <v>45266.6</v>
      </c>
      <c r="H10" s="47">
        <v>7935.8</v>
      </c>
      <c r="I10" s="47"/>
      <c r="J10" s="48"/>
    </row>
    <row r="11" spans="2:10" ht="15" x14ac:dyDescent="0.25">
      <c r="B11" s="46" t="s">
        <v>13</v>
      </c>
      <c r="C11" s="79" t="s">
        <v>139</v>
      </c>
      <c r="D11" s="47">
        <v>4094.6000000000022</v>
      </c>
      <c r="E11" s="47">
        <v>16259.8</v>
      </c>
      <c r="F11" s="47">
        <v>137017.29999999999</v>
      </c>
      <c r="G11" s="47">
        <v>11204.8</v>
      </c>
      <c r="H11" s="47">
        <v>21089.599999999999</v>
      </c>
      <c r="I11" s="47"/>
      <c r="J11" s="48"/>
    </row>
    <row r="12" spans="2:10" ht="15" x14ac:dyDescent="0.25">
      <c r="B12" s="46" t="s">
        <v>14</v>
      </c>
      <c r="C12" s="79" t="s">
        <v>140</v>
      </c>
      <c r="D12" s="47">
        <v>1656.5</v>
      </c>
      <c r="E12" s="47">
        <v>7464.6</v>
      </c>
      <c r="F12" s="47">
        <v>17571.3</v>
      </c>
      <c r="G12" s="47"/>
      <c r="H12" s="47"/>
      <c r="I12" s="47">
        <v>2109.5030000000002</v>
      </c>
      <c r="J12" s="48">
        <v>32467</v>
      </c>
    </row>
    <row r="13" spans="2:10" ht="15" x14ac:dyDescent="0.25">
      <c r="B13" s="46" t="s">
        <v>15</v>
      </c>
      <c r="C13" s="79" t="s">
        <v>141</v>
      </c>
      <c r="D13" s="47">
        <v>6227.6934486274804</v>
      </c>
      <c r="E13" s="47">
        <v>15623.048922000018</v>
      </c>
      <c r="F13" s="47"/>
      <c r="G13" s="47"/>
      <c r="H13" s="47"/>
      <c r="I13" s="47"/>
      <c r="J13" s="48"/>
    </row>
    <row r="14" spans="2:10" ht="15" x14ac:dyDescent="0.25">
      <c r="B14" s="46" t="s">
        <v>16</v>
      </c>
      <c r="C14" s="79" t="s">
        <v>142</v>
      </c>
      <c r="D14" s="47">
        <v>3954.96</v>
      </c>
      <c r="E14" s="47">
        <v>1957.92</v>
      </c>
      <c r="F14" s="47"/>
      <c r="G14" s="47"/>
      <c r="H14" s="47"/>
      <c r="I14" s="47"/>
      <c r="J14" s="48"/>
    </row>
    <row r="15" spans="2:10" ht="15" x14ac:dyDescent="0.3">
      <c r="B15" s="13" t="s">
        <v>17</v>
      </c>
      <c r="C15" s="12" t="s">
        <v>143</v>
      </c>
      <c r="D15" s="49">
        <v>19.806000000000001</v>
      </c>
      <c r="E15" s="47"/>
      <c r="F15" s="47">
        <v>81695</v>
      </c>
      <c r="G15" s="47">
        <v>4227</v>
      </c>
      <c r="H15" s="47">
        <v>22840</v>
      </c>
      <c r="I15" s="47"/>
      <c r="J15" s="48"/>
    </row>
    <row r="16" spans="2:10" ht="13.5" thickBot="1" x14ac:dyDescent="0.35">
      <c r="B16" s="50" t="s">
        <v>18</v>
      </c>
      <c r="C16" s="11" t="s">
        <v>144</v>
      </c>
      <c r="D16" s="51"/>
      <c r="E16" s="52">
        <f>SUM(E9:E15)</f>
        <v>123517.06892200003</v>
      </c>
      <c r="F16" s="52">
        <f>SUM(F9:F15)</f>
        <v>236283.59999999998</v>
      </c>
      <c r="G16" s="51"/>
      <c r="H16" s="51"/>
      <c r="I16" s="51"/>
      <c r="J16" s="53"/>
    </row>
    <row r="17" spans="2:7" ht="15.65" customHeight="1" x14ac:dyDescent="0.25">
      <c r="B17" s="10" t="s">
        <v>154</v>
      </c>
      <c r="C17" s="10"/>
    </row>
    <row r="18" spans="2:7" x14ac:dyDescent="0.25">
      <c r="B18" s="10" t="s">
        <v>19</v>
      </c>
      <c r="C18" s="10"/>
    </row>
    <row r="19" spans="2:7" x14ac:dyDescent="0.25">
      <c r="B19" s="9" t="s">
        <v>162</v>
      </c>
      <c r="C19" s="10"/>
    </row>
    <row r="20" spans="2:7" x14ac:dyDescent="0.25">
      <c r="B20" s="10" t="s">
        <v>163</v>
      </c>
      <c r="C20" s="10"/>
    </row>
    <row r="21" spans="2:7" ht="13" x14ac:dyDescent="0.3">
      <c r="B21" s="41"/>
      <c r="C21" s="41"/>
      <c r="D21" s="41"/>
      <c r="E21" s="41"/>
      <c r="F21" s="41"/>
    </row>
    <row r="22" spans="2:7" ht="13" x14ac:dyDescent="0.3">
      <c r="B22" s="41"/>
      <c r="C22" s="41"/>
      <c r="D22" s="41"/>
      <c r="E22" s="41"/>
      <c r="F22" s="41"/>
    </row>
    <row r="23" spans="2:7" ht="15.5" x14ac:dyDescent="0.35">
      <c r="B23" s="39" t="s">
        <v>164</v>
      </c>
      <c r="C23" s="39"/>
      <c r="D23" s="41"/>
      <c r="E23" s="41"/>
      <c r="F23" s="41"/>
    </row>
    <row r="25" spans="2:7" ht="13" x14ac:dyDescent="0.3">
      <c r="B25" s="41" t="s">
        <v>157</v>
      </c>
      <c r="C25" s="41"/>
      <c r="D25" s="41"/>
      <c r="E25" s="41"/>
      <c r="F25" s="41"/>
    </row>
    <row r="26" spans="2:7" ht="13.5" thickBot="1" x14ac:dyDescent="0.35">
      <c r="B26" s="41" t="s">
        <v>158</v>
      </c>
      <c r="C26" s="41"/>
      <c r="D26" s="41"/>
      <c r="E26" s="41"/>
      <c r="F26" s="41"/>
    </row>
    <row r="27" spans="2:7" ht="31.65" customHeight="1" x14ac:dyDescent="0.3">
      <c r="B27" s="95" t="s">
        <v>20</v>
      </c>
      <c r="C27" s="97" t="s">
        <v>147</v>
      </c>
      <c r="D27" s="42" t="s">
        <v>21</v>
      </c>
      <c r="E27" s="8" t="s">
        <v>22</v>
      </c>
      <c r="F27" s="41"/>
    </row>
    <row r="28" spans="2:7" ht="31.65" customHeight="1" x14ac:dyDescent="0.3">
      <c r="B28" s="96"/>
      <c r="C28" s="98"/>
      <c r="D28" s="14" t="s">
        <v>148</v>
      </c>
      <c r="E28" s="7" t="s">
        <v>102</v>
      </c>
      <c r="F28" s="41"/>
    </row>
    <row r="29" spans="2:7" ht="13" x14ac:dyDescent="0.3">
      <c r="B29" s="54" t="s">
        <v>23</v>
      </c>
      <c r="C29" s="6" t="s">
        <v>151</v>
      </c>
      <c r="D29" s="44" t="s">
        <v>165</v>
      </c>
      <c r="E29" s="55">
        <v>0.97706171756374371</v>
      </c>
      <c r="F29" s="41"/>
      <c r="G29" s="5"/>
    </row>
    <row r="30" spans="2:7" ht="13" x14ac:dyDescent="0.3">
      <c r="B30" s="54" t="s">
        <v>23</v>
      </c>
      <c r="C30" s="6" t="s">
        <v>151</v>
      </c>
      <c r="D30" s="44" t="s">
        <v>166</v>
      </c>
      <c r="E30" s="55">
        <v>0.9764416403645515</v>
      </c>
      <c r="F30" s="41"/>
      <c r="G30" s="5"/>
    </row>
    <row r="31" spans="2:7" ht="13" x14ac:dyDescent="0.3">
      <c r="B31" s="54" t="s">
        <v>23</v>
      </c>
      <c r="C31" s="6" t="s">
        <v>151</v>
      </c>
      <c r="D31" s="44" t="s">
        <v>149</v>
      </c>
      <c r="E31" s="55">
        <v>0.9515253427786764</v>
      </c>
      <c r="F31" s="41"/>
    </row>
    <row r="32" spans="2:7" ht="13.5" thickBot="1" x14ac:dyDescent="0.35">
      <c r="B32" s="56" t="s">
        <v>24</v>
      </c>
      <c r="C32" s="4" t="s">
        <v>152</v>
      </c>
      <c r="D32" s="57" t="s">
        <v>150</v>
      </c>
      <c r="E32" s="58">
        <v>0.85899999999999999</v>
      </c>
      <c r="F32" s="41"/>
    </row>
    <row r="33" spans="2:6" ht="13" x14ac:dyDescent="0.3">
      <c r="B33" s="10" t="s">
        <v>154</v>
      </c>
      <c r="C33" s="41"/>
      <c r="D33" s="41"/>
      <c r="E33" s="59"/>
      <c r="F33" s="41"/>
    </row>
    <row r="34" spans="2:6" ht="13" x14ac:dyDescent="0.3">
      <c r="B34" s="9" t="s">
        <v>19</v>
      </c>
      <c r="C34" s="41"/>
      <c r="D34" s="41"/>
      <c r="E34" s="59"/>
      <c r="F34" s="41"/>
    </row>
    <row r="35" spans="2:6" ht="13" x14ac:dyDescent="0.3">
      <c r="B35" s="9" t="s">
        <v>162</v>
      </c>
      <c r="C35" s="41"/>
      <c r="D35" s="41"/>
      <c r="E35" s="59"/>
      <c r="F35" s="41"/>
    </row>
    <row r="36" spans="2:6" ht="13" x14ac:dyDescent="0.3">
      <c r="B36" s="41"/>
      <c r="C36" s="41"/>
      <c r="D36" s="41"/>
      <c r="E36" s="59"/>
      <c r="F36" s="41"/>
    </row>
    <row r="37" spans="2:6" ht="13" x14ac:dyDescent="0.3">
      <c r="B37" s="41"/>
      <c r="C37" s="41"/>
      <c r="D37" s="41"/>
      <c r="E37" s="59"/>
      <c r="F37" s="41"/>
    </row>
    <row r="38" spans="2:6" ht="15.5" x14ac:dyDescent="0.35">
      <c r="B38" s="39" t="s">
        <v>167</v>
      </c>
      <c r="C38" s="39"/>
      <c r="D38" s="41"/>
      <c r="E38" s="59"/>
      <c r="F38" s="41"/>
    </row>
    <row r="39" spans="2:6" ht="13" x14ac:dyDescent="0.3">
      <c r="B39" s="41"/>
      <c r="C39" s="41"/>
      <c r="D39" s="41"/>
      <c r="E39" s="59"/>
      <c r="F39" s="41"/>
    </row>
    <row r="40" spans="2:6" ht="13" x14ac:dyDescent="0.3">
      <c r="B40" s="41" t="s">
        <v>159</v>
      </c>
      <c r="C40" s="41"/>
      <c r="D40" s="41"/>
      <c r="E40" s="59"/>
      <c r="F40" s="41"/>
    </row>
    <row r="41" spans="2:6" ht="13.5" thickBot="1" x14ac:dyDescent="0.35">
      <c r="B41" s="41" t="s">
        <v>160</v>
      </c>
      <c r="C41" s="41"/>
      <c r="D41" s="41"/>
      <c r="E41" s="59"/>
      <c r="F41" s="41"/>
    </row>
    <row r="42" spans="2:6" ht="24.75" customHeight="1" x14ac:dyDescent="0.3">
      <c r="B42" s="95" t="s">
        <v>20</v>
      </c>
      <c r="C42" s="97" t="s">
        <v>147</v>
      </c>
      <c r="D42" s="3" t="s">
        <v>25</v>
      </c>
      <c r="E42" s="43" t="s">
        <v>26</v>
      </c>
      <c r="F42" s="41"/>
    </row>
    <row r="43" spans="2:6" ht="24.75" customHeight="1" x14ac:dyDescent="0.3">
      <c r="B43" s="96"/>
      <c r="C43" s="98"/>
      <c r="D43" s="2" t="s">
        <v>33</v>
      </c>
      <c r="E43" s="1" t="s">
        <v>153</v>
      </c>
      <c r="F43" s="41"/>
    </row>
    <row r="44" spans="2:6" ht="13" x14ac:dyDescent="0.3">
      <c r="B44" s="54" t="s">
        <v>23</v>
      </c>
      <c r="C44" s="6" t="s">
        <v>151</v>
      </c>
      <c r="D44" s="44" t="s">
        <v>27</v>
      </c>
      <c r="E44" s="55">
        <f>ROUNDDOWN(SUM(E9:E14)*(PRODUCT(E29:E31)/1000),3)</f>
        <v>112.128</v>
      </c>
      <c r="F44" s="41"/>
    </row>
    <row r="45" spans="2:6" ht="13.5" thickBot="1" x14ac:dyDescent="0.35">
      <c r="B45" s="56" t="s">
        <v>24</v>
      </c>
      <c r="C45" s="4" t="s">
        <v>152</v>
      </c>
      <c r="D45" s="57" t="s">
        <v>28</v>
      </c>
      <c r="E45" s="58">
        <f>ROUNDDOWN(SUM(F9:F15)*E32/1000,3)</f>
        <v>202.96700000000001</v>
      </c>
      <c r="F45" s="41"/>
    </row>
    <row r="46" spans="2:6" ht="13" x14ac:dyDescent="0.3">
      <c r="B46" s="10" t="s">
        <v>154</v>
      </c>
      <c r="C46" s="41"/>
      <c r="D46" s="41"/>
      <c r="E46" s="41"/>
      <c r="F46" s="41"/>
    </row>
    <row r="47" spans="2:6" ht="13" x14ac:dyDescent="0.3">
      <c r="B47" s="9" t="s">
        <v>19</v>
      </c>
      <c r="C47" s="41"/>
      <c r="D47" s="41"/>
      <c r="E47" s="41"/>
      <c r="F47" s="41"/>
    </row>
    <row r="48" spans="2:6" x14ac:dyDescent="0.25">
      <c r="B48" s="9" t="s">
        <v>162</v>
      </c>
    </row>
    <row r="50" spans="2:3" ht="13" x14ac:dyDescent="0.3">
      <c r="B50" s="41"/>
      <c r="C50" s="41"/>
    </row>
  </sheetData>
  <mergeCells count="6">
    <mergeCell ref="B6:B8"/>
    <mergeCell ref="C6:C8"/>
    <mergeCell ref="B27:B28"/>
    <mergeCell ref="C27:C28"/>
    <mergeCell ref="B42:B43"/>
    <mergeCell ref="C42:C4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1"/>
  <sheetViews>
    <sheetView topLeftCell="A3" zoomScaleNormal="100" workbookViewId="0">
      <selection activeCell="F21" sqref="F21"/>
    </sheetView>
  </sheetViews>
  <sheetFormatPr defaultRowHeight="12.5" x14ac:dyDescent="0.25"/>
  <cols>
    <col min="1" max="1" width="2.90625" customWidth="1"/>
    <col min="2" max="2" width="15" customWidth="1"/>
    <col min="3" max="3" width="12.90625" customWidth="1"/>
    <col min="4" max="4" width="36" customWidth="1"/>
    <col min="5" max="5" width="10" customWidth="1"/>
    <col min="6" max="6" width="11.453125" bestFit="1" customWidth="1"/>
    <col min="7" max="7" width="12" customWidth="1"/>
    <col min="8" max="8" width="14.36328125" customWidth="1"/>
    <col min="9" max="9" width="12.90625" customWidth="1"/>
    <col min="10" max="10" width="10.453125" customWidth="1"/>
    <col min="11" max="12" width="10.6328125" bestFit="1" customWidth="1"/>
  </cols>
  <sheetData>
    <row r="2" spans="2:9" ht="17.5" x14ac:dyDescent="0.35">
      <c r="B2" s="68" t="s">
        <v>106</v>
      </c>
      <c r="C2" s="69"/>
      <c r="D2" s="69"/>
      <c r="E2" s="26"/>
      <c r="F2" s="26"/>
      <c r="G2" s="26"/>
      <c r="H2" s="26"/>
      <c r="I2" s="26"/>
    </row>
    <row r="3" spans="2:9" ht="12.75" customHeight="1" x14ac:dyDescent="0.3">
      <c r="B3" s="27"/>
      <c r="C3" s="26"/>
      <c r="D3" s="26"/>
      <c r="E3" s="26"/>
      <c r="F3" s="26"/>
      <c r="G3" s="26"/>
      <c r="H3" s="26"/>
      <c r="I3" s="26"/>
    </row>
    <row r="4" spans="2:9" ht="17.399999999999999" customHeight="1" x14ac:dyDescent="0.3">
      <c r="B4" s="27" t="s">
        <v>29</v>
      </c>
      <c r="C4" s="26"/>
      <c r="D4" s="26"/>
      <c r="E4" s="26"/>
      <c r="F4" s="26"/>
      <c r="G4" s="26"/>
      <c r="H4" s="26"/>
      <c r="I4" s="26"/>
    </row>
    <row r="5" spans="2:9" ht="15.75" customHeight="1" x14ac:dyDescent="0.25">
      <c r="B5" s="38" t="s">
        <v>30</v>
      </c>
      <c r="C5" s="38" t="s">
        <v>31</v>
      </c>
      <c r="D5" s="38" t="s">
        <v>32</v>
      </c>
      <c r="E5" s="38" t="s">
        <v>33</v>
      </c>
      <c r="F5" s="38" t="s">
        <v>34</v>
      </c>
      <c r="G5" s="38" t="s">
        <v>35</v>
      </c>
      <c r="H5" s="38" t="s">
        <v>36</v>
      </c>
      <c r="I5" s="38" t="s">
        <v>37</v>
      </c>
    </row>
    <row r="6" spans="2:9" ht="47.25" customHeight="1" x14ac:dyDescent="0.25">
      <c r="B6" s="15" t="s">
        <v>62</v>
      </c>
      <c r="C6" s="15" t="s">
        <v>63</v>
      </c>
      <c r="D6" s="15" t="s">
        <v>64</v>
      </c>
      <c r="E6" s="15" t="s">
        <v>33</v>
      </c>
      <c r="F6" s="15" t="s">
        <v>65</v>
      </c>
      <c r="G6" s="15" t="s">
        <v>66</v>
      </c>
      <c r="H6" s="15" t="s">
        <v>67</v>
      </c>
      <c r="I6" s="15" t="s">
        <v>68</v>
      </c>
    </row>
    <row r="7" spans="2:9" ht="62.5" x14ac:dyDescent="0.25">
      <c r="B7" s="80" t="s">
        <v>117</v>
      </c>
      <c r="C7" s="80" t="s">
        <v>118</v>
      </c>
      <c r="D7" s="80" t="s">
        <v>119</v>
      </c>
      <c r="E7" s="80" t="s">
        <v>120</v>
      </c>
      <c r="F7" s="81" t="s">
        <v>114</v>
      </c>
      <c r="G7" s="80" t="s">
        <v>116</v>
      </c>
      <c r="H7" s="81" t="s">
        <v>114</v>
      </c>
      <c r="I7" s="80" t="s">
        <v>121</v>
      </c>
    </row>
    <row r="8" spans="2:9" ht="18.75" customHeight="1" x14ac:dyDescent="0.25">
      <c r="B8" s="82" t="s">
        <v>41</v>
      </c>
      <c r="C8" s="82" t="s">
        <v>129</v>
      </c>
      <c r="D8" s="82" t="s">
        <v>130</v>
      </c>
      <c r="E8" s="82" t="s">
        <v>39</v>
      </c>
      <c r="F8" s="82"/>
      <c r="G8" s="82"/>
      <c r="H8" s="82"/>
      <c r="I8" s="82"/>
    </row>
    <row r="9" spans="2:9" ht="18.75" customHeight="1" thickBot="1" x14ac:dyDescent="0.3">
      <c r="B9" s="83" t="s">
        <v>41</v>
      </c>
      <c r="C9" s="83" t="s">
        <v>173</v>
      </c>
      <c r="D9" s="83" t="s">
        <v>174</v>
      </c>
      <c r="E9" s="83" t="s">
        <v>39</v>
      </c>
      <c r="F9" s="83"/>
      <c r="G9" s="83"/>
      <c r="H9" s="83"/>
      <c r="I9" s="83"/>
    </row>
    <row r="10" spans="2:9" ht="13" thickTop="1" x14ac:dyDescent="0.25"/>
    <row r="12" spans="2:9" ht="17.5" x14ac:dyDescent="0.35">
      <c r="B12" s="68" t="s">
        <v>172</v>
      </c>
      <c r="C12" s="69"/>
      <c r="D12" s="69"/>
    </row>
    <row r="14" spans="2:9" ht="13" x14ac:dyDescent="0.3">
      <c r="B14" s="27" t="s">
        <v>169</v>
      </c>
    </row>
    <row r="15" spans="2:9" ht="13" x14ac:dyDescent="0.25">
      <c r="B15" s="84" t="s">
        <v>30</v>
      </c>
      <c r="C15" s="84" t="s">
        <v>31</v>
      </c>
      <c r="D15" s="84" t="s">
        <v>32</v>
      </c>
      <c r="E15" s="84" t="s">
        <v>33</v>
      </c>
      <c r="F15" s="84" t="s">
        <v>34</v>
      </c>
      <c r="G15" s="84" t="s">
        <v>35</v>
      </c>
      <c r="H15" s="84" t="s">
        <v>36</v>
      </c>
      <c r="I15" s="84" t="s">
        <v>37</v>
      </c>
    </row>
    <row r="16" spans="2:9" x14ac:dyDescent="0.25">
      <c r="B16" s="86" t="s">
        <v>38</v>
      </c>
      <c r="C16" s="86" t="s">
        <v>128</v>
      </c>
      <c r="D16" s="86" t="s">
        <v>97</v>
      </c>
      <c r="E16" s="86" t="s">
        <v>39</v>
      </c>
      <c r="F16" s="86"/>
      <c r="G16" s="86" t="s">
        <v>40</v>
      </c>
      <c r="H16" s="86"/>
      <c r="I16" s="86"/>
    </row>
    <row r="17" spans="2:9" x14ac:dyDescent="0.25">
      <c r="B17" s="85" t="s">
        <v>38</v>
      </c>
      <c r="C17" s="85" t="s">
        <v>175</v>
      </c>
      <c r="D17" s="85" t="s">
        <v>176</v>
      </c>
      <c r="E17" s="85" t="s">
        <v>39</v>
      </c>
      <c r="F17" s="85"/>
      <c r="G17" s="85" t="s">
        <v>40</v>
      </c>
      <c r="H17" s="85"/>
      <c r="I17" s="85"/>
    </row>
    <row r="21" spans="2:9" ht="13.65" customHeight="1" x14ac:dyDescent="0.25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1"/>
  <sheetViews>
    <sheetView tabSelected="1" workbookViewId="0">
      <selection activeCell="E13" sqref="E13"/>
    </sheetView>
  </sheetViews>
  <sheetFormatPr defaultRowHeight="12.5" x14ac:dyDescent="0.25"/>
  <cols>
    <col min="1" max="1" width="2.90625" customWidth="1"/>
    <col min="2" max="2" width="20.90625" customWidth="1"/>
    <col min="3" max="3" width="19" customWidth="1"/>
    <col min="4" max="4" width="26.453125" customWidth="1"/>
    <col min="5" max="5" width="45.6328125" customWidth="1"/>
    <col min="6" max="8" width="11" customWidth="1"/>
    <col min="9" max="9" width="14.08984375" customWidth="1"/>
    <col min="10" max="10" width="11" customWidth="1"/>
  </cols>
  <sheetData>
    <row r="2" spans="2:10" ht="15.75" customHeight="1" x14ac:dyDescent="0.35">
      <c r="B2" s="68" t="s">
        <v>107</v>
      </c>
      <c r="C2" s="70"/>
      <c r="D2" s="70"/>
      <c r="E2" s="28"/>
      <c r="F2" s="28"/>
      <c r="G2" s="28"/>
      <c r="H2" s="28"/>
      <c r="I2" s="28"/>
      <c r="J2" s="28"/>
    </row>
    <row r="3" spans="2:10" ht="13" x14ac:dyDescent="0.3">
      <c r="B3" s="27"/>
      <c r="C3" s="27"/>
      <c r="D3" s="28"/>
      <c r="E3" s="28"/>
      <c r="F3" s="28"/>
      <c r="G3" s="28"/>
      <c r="H3" s="28"/>
      <c r="I3" s="28"/>
      <c r="J3" s="28"/>
    </row>
    <row r="4" spans="2:10" ht="15.75" customHeight="1" x14ac:dyDescent="0.3">
      <c r="B4" s="27" t="s">
        <v>42</v>
      </c>
      <c r="C4" s="27"/>
      <c r="D4" s="28"/>
      <c r="E4" s="28"/>
      <c r="F4" s="28"/>
      <c r="G4" s="28"/>
      <c r="H4" s="28"/>
      <c r="I4" s="28"/>
      <c r="J4" s="28"/>
    </row>
    <row r="5" spans="2:10" ht="15.75" customHeight="1" x14ac:dyDescent="0.25">
      <c r="B5" s="38" t="s">
        <v>43</v>
      </c>
      <c r="C5" s="38" t="s">
        <v>44</v>
      </c>
      <c r="D5" s="38" t="s">
        <v>45</v>
      </c>
      <c r="E5" s="38" t="s">
        <v>46</v>
      </c>
      <c r="F5" s="38" t="s">
        <v>47</v>
      </c>
      <c r="G5" s="38" t="s">
        <v>48</v>
      </c>
      <c r="H5" s="38" t="s">
        <v>49</v>
      </c>
      <c r="I5" s="38" t="s">
        <v>50</v>
      </c>
      <c r="J5" s="38" t="s">
        <v>51</v>
      </c>
    </row>
    <row r="6" spans="2:10" ht="37.5" x14ac:dyDescent="0.25">
      <c r="B6" s="15" t="s">
        <v>69</v>
      </c>
      <c r="C6" s="15" t="s">
        <v>70</v>
      </c>
      <c r="D6" s="15" t="s">
        <v>71</v>
      </c>
      <c r="E6" s="15" t="s">
        <v>72</v>
      </c>
      <c r="F6" s="15" t="s">
        <v>73</v>
      </c>
      <c r="G6" s="15" t="s">
        <v>74</v>
      </c>
      <c r="H6" s="15" t="s">
        <v>66</v>
      </c>
      <c r="I6" s="71" t="s">
        <v>75</v>
      </c>
      <c r="J6" s="71" t="s">
        <v>76</v>
      </c>
    </row>
    <row r="7" spans="2:10" ht="63" thickBot="1" x14ac:dyDescent="0.3">
      <c r="B7" s="16" t="s">
        <v>108</v>
      </c>
      <c r="C7" s="16" t="s">
        <v>109</v>
      </c>
      <c r="D7" s="16" t="s">
        <v>110</v>
      </c>
      <c r="E7" s="16" t="s">
        <v>111</v>
      </c>
      <c r="F7" s="16" t="s">
        <v>112</v>
      </c>
      <c r="G7" s="16" t="s">
        <v>113</v>
      </c>
      <c r="H7" s="16" t="s">
        <v>116</v>
      </c>
      <c r="I7" s="72" t="s">
        <v>114</v>
      </c>
      <c r="J7" s="72" t="s">
        <v>114</v>
      </c>
    </row>
    <row r="8" spans="2:10" ht="15.75" customHeight="1" x14ac:dyDescent="0.25">
      <c r="B8" s="30" t="s">
        <v>52</v>
      </c>
      <c r="C8" s="30" t="s">
        <v>53</v>
      </c>
      <c r="D8" s="32" t="s">
        <v>178</v>
      </c>
      <c r="E8" s="32" t="s">
        <v>98</v>
      </c>
      <c r="F8" s="30" t="s">
        <v>39</v>
      </c>
      <c r="G8" s="32" t="s">
        <v>115</v>
      </c>
      <c r="H8" s="30" t="s">
        <v>40</v>
      </c>
      <c r="I8" s="30"/>
      <c r="J8" s="30"/>
    </row>
    <row r="9" spans="2:10" ht="15.75" customHeight="1" thickBot="1" x14ac:dyDescent="0.3">
      <c r="B9" s="36" t="s">
        <v>52</v>
      </c>
      <c r="C9" s="36" t="s">
        <v>53</v>
      </c>
      <c r="D9" s="36" t="s">
        <v>177</v>
      </c>
      <c r="E9" s="36" t="s">
        <v>179</v>
      </c>
      <c r="F9" s="36" t="s">
        <v>39</v>
      </c>
      <c r="G9" s="36" t="s">
        <v>115</v>
      </c>
      <c r="H9" s="36" t="s">
        <v>40</v>
      </c>
      <c r="I9" s="35"/>
      <c r="J9" s="35"/>
    </row>
    <row r="12" spans="2:10" x14ac:dyDescent="0.25">
      <c r="B12" s="99" t="s">
        <v>77</v>
      </c>
      <c r="C12" s="99"/>
      <c r="D12" s="99"/>
    </row>
    <row r="13" spans="2:10" x14ac:dyDescent="0.25">
      <c r="B13" s="60" t="s">
        <v>78</v>
      </c>
      <c r="C13" s="60" t="s">
        <v>79</v>
      </c>
      <c r="D13" s="60"/>
    </row>
    <row r="14" spans="2:10" x14ac:dyDescent="0.25">
      <c r="B14" s="61" t="s">
        <v>80</v>
      </c>
      <c r="C14" s="61" t="s">
        <v>81</v>
      </c>
      <c r="D14" s="61"/>
    </row>
    <row r="15" spans="2:10" x14ac:dyDescent="0.25">
      <c r="B15" s="60" t="s">
        <v>82</v>
      </c>
      <c r="C15" s="60" t="s">
        <v>83</v>
      </c>
      <c r="D15" s="60"/>
    </row>
    <row r="16" spans="2:10" x14ac:dyDescent="0.25">
      <c r="B16" s="61" t="s">
        <v>84</v>
      </c>
      <c r="C16" s="61" t="s">
        <v>85</v>
      </c>
      <c r="D16" s="61"/>
    </row>
    <row r="17" spans="2:4" x14ac:dyDescent="0.25">
      <c r="B17" s="60" t="s">
        <v>52</v>
      </c>
      <c r="C17" s="60" t="s">
        <v>86</v>
      </c>
      <c r="D17" s="60" t="s">
        <v>127</v>
      </c>
    </row>
    <row r="18" spans="2:4" x14ac:dyDescent="0.25">
      <c r="B18" s="61" t="s">
        <v>87</v>
      </c>
      <c r="C18" s="61" t="s">
        <v>88</v>
      </c>
      <c r="D18" s="61" t="s">
        <v>89</v>
      </c>
    </row>
    <row r="19" spans="2:4" x14ac:dyDescent="0.25">
      <c r="B19" s="60" t="s">
        <v>90</v>
      </c>
      <c r="C19" s="60" t="s">
        <v>91</v>
      </c>
      <c r="D19" s="60" t="s">
        <v>92</v>
      </c>
    </row>
    <row r="20" spans="2:4" x14ac:dyDescent="0.25">
      <c r="B20" s="61" t="s">
        <v>93</v>
      </c>
      <c r="C20" s="61" t="s">
        <v>94</v>
      </c>
      <c r="D20" s="61" t="s">
        <v>89</v>
      </c>
    </row>
    <row r="21" spans="2:4" ht="13" thickBot="1" x14ac:dyDescent="0.3">
      <c r="B21" s="62" t="s">
        <v>95</v>
      </c>
      <c r="C21" s="62" t="s">
        <v>96</v>
      </c>
      <c r="D21" s="62"/>
    </row>
  </sheetData>
  <mergeCells count="1">
    <mergeCell ref="B12:D1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8"/>
  <sheetViews>
    <sheetView zoomScaleNormal="100" workbookViewId="0">
      <selection activeCell="E9" sqref="E9"/>
    </sheetView>
  </sheetViews>
  <sheetFormatPr defaultRowHeight="12.5" x14ac:dyDescent="0.25"/>
  <cols>
    <col min="1" max="1" width="2.90625" customWidth="1"/>
    <col min="2" max="2" width="31.36328125" customWidth="1"/>
    <col min="3" max="3" width="47.90625" bestFit="1" customWidth="1"/>
    <col min="4" max="4" width="17" customWidth="1"/>
    <col min="5" max="5" width="19.90625" customWidth="1"/>
    <col min="6" max="6" width="17.08984375" customWidth="1"/>
    <col min="7" max="7" width="16.08984375" customWidth="1"/>
  </cols>
  <sheetData>
    <row r="2" spans="2:7" ht="17.5" x14ac:dyDescent="0.35">
      <c r="B2" s="67" t="s">
        <v>105</v>
      </c>
      <c r="C2" s="25"/>
      <c r="E2" s="19"/>
    </row>
    <row r="3" spans="2:7" ht="13" x14ac:dyDescent="0.3">
      <c r="B3" s="20"/>
      <c r="C3" s="18"/>
      <c r="E3" s="19"/>
    </row>
    <row r="4" spans="2:7" ht="15.75" customHeight="1" x14ac:dyDescent="0.3">
      <c r="E4" s="22" t="s">
        <v>54</v>
      </c>
      <c r="F4" s="21"/>
      <c r="G4" s="21"/>
    </row>
    <row r="5" spans="2:7" ht="15.75" customHeight="1" x14ac:dyDescent="0.25">
      <c r="B5" s="38" t="s">
        <v>45</v>
      </c>
      <c r="C5" s="38" t="s">
        <v>55</v>
      </c>
      <c r="D5" s="38" t="s">
        <v>56</v>
      </c>
      <c r="E5" s="38" t="s">
        <v>57</v>
      </c>
      <c r="F5" s="38" t="s">
        <v>58</v>
      </c>
      <c r="G5" s="38" t="s">
        <v>59</v>
      </c>
    </row>
    <row r="6" spans="2:7" ht="31.65" customHeight="1" x14ac:dyDescent="0.25">
      <c r="B6" s="15" t="s">
        <v>99</v>
      </c>
      <c r="C6" s="15" t="s">
        <v>72</v>
      </c>
      <c r="D6" s="15" t="s">
        <v>100</v>
      </c>
      <c r="E6" s="15" t="s">
        <v>101</v>
      </c>
      <c r="F6" s="15" t="s">
        <v>102</v>
      </c>
      <c r="G6" s="15" t="s">
        <v>103</v>
      </c>
    </row>
    <row r="7" spans="2:7" ht="31.65" customHeight="1" thickBot="1" x14ac:dyDescent="0.3">
      <c r="B7" s="16" t="s">
        <v>125</v>
      </c>
      <c r="C7" s="16" t="s">
        <v>111</v>
      </c>
      <c r="D7" s="16" t="s">
        <v>122</v>
      </c>
      <c r="E7" s="16" t="s">
        <v>123</v>
      </c>
      <c r="F7" s="16" t="s">
        <v>22</v>
      </c>
      <c r="G7" s="16" t="s">
        <v>124</v>
      </c>
    </row>
    <row r="8" spans="2:7" ht="15.75" customHeight="1" x14ac:dyDescent="0.25">
      <c r="B8" s="29" t="str">
        <f>SEC_Processes!D8</f>
        <v>ELEC_FIN_DMD</v>
      </c>
      <c r="C8" s="29" t="str">
        <f>SEC_Processes!E8</f>
        <v>Electricity - Final Energy Demand</v>
      </c>
      <c r="D8" s="29" t="str">
        <f>SEC_Comm!C16</f>
        <v>ELEC_LV</v>
      </c>
      <c r="E8" s="29" t="str">
        <f>SEC_Comm!C8</f>
        <v>ELEC_FIN</v>
      </c>
      <c r="F8" s="63">
        <v>1</v>
      </c>
      <c r="G8" s="65">
        <v>1</v>
      </c>
    </row>
    <row r="9" spans="2:7" ht="15.75" customHeight="1" thickBot="1" x14ac:dyDescent="0.3">
      <c r="B9" s="34" t="str">
        <f>SEC_Processes!D9</f>
        <v>HEAT_FIN_DMD</v>
      </c>
      <c r="C9" s="34" t="str">
        <f>SEC_Processes!E9</f>
        <v>Heat - Final Energy Demand Process</v>
      </c>
      <c r="D9" s="34" t="str">
        <f>SEC_Comm!C17</f>
        <v>HEAT_DH</v>
      </c>
      <c r="E9" s="34" t="str">
        <f>SEC_Comm!C9</f>
        <v>HEAT_FIN</v>
      </c>
      <c r="F9" s="64">
        <v>1</v>
      </c>
      <c r="G9" s="66">
        <v>1</v>
      </c>
    </row>
    <row r="18" spans="4:4" x14ac:dyDescent="0.25">
      <c r="D18" s="37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19"/>
  <sheetViews>
    <sheetView zoomScaleNormal="100" workbookViewId="0">
      <selection activeCell="C8" sqref="C8"/>
    </sheetView>
  </sheetViews>
  <sheetFormatPr defaultRowHeight="12.5" x14ac:dyDescent="0.25"/>
  <cols>
    <col min="1" max="1" width="2.90625" customWidth="1"/>
    <col min="2" max="2" width="19.81640625" customWidth="1"/>
    <col min="3" max="4" width="8.36328125" customWidth="1"/>
    <col min="5" max="6" width="8.54296875" customWidth="1"/>
    <col min="7" max="7" width="11" bestFit="1" customWidth="1"/>
    <col min="8" max="8" width="12.453125" customWidth="1"/>
    <col min="9" max="9" width="9.08984375" customWidth="1"/>
    <col min="15" max="15" width="14.54296875" customWidth="1"/>
    <col min="16" max="16" width="15.08984375" customWidth="1"/>
    <col min="18" max="18" width="9.6328125" customWidth="1"/>
  </cols>
  <sheetData>
    <row r="2" spans="2:12" ht="17.5" x14ac:dyDescent="0.35">
      <c r="B2" s="67" t="s">
        <v>61</v>
      </c>
      <c r="C2" s="25"/>
    </row>
    <row r="4" spans="2:12" ht="13" x14ac:dyDescent="0.3">
      <c r="B4" s="23" t="s">
        <v>60</v>
      </c>
      <c r="C4" s="24"/>
    </row>
    <row r="5" spans="2:12" ht="13" x14ac:dyDescent="0.25">
      <c r="B5" s="38" t="s">
        <v>31</v>
      </c>
      <c r="C5" s="78">
        <v>2020</v>
      </c>
      <c r="D5" s="78">
        <v>2021</v>
      </c>
      <c r="E5" s="78">
        <v>2025</v>
      </c>
      <c r="F5" s="78">
        <v>2030</v>
      </c>
      <c r="G5" s="78">
        <v>2035</v>
      </c>
      <c r="H5" s="78">
        <v>2040</v>
      </c>
      <c r="I5" s="78">
        <v>2045</v>
      </c>
      <c r="J5" s="78">
        <v>2050</v>
      </c>
    </row>
    <row r="6" spans="2:12" ht="36.75" customHeight="1" x14ac:dyDescent="0.25">
      <c r="B6" s="15" t="s">
        <v>104</v>
      </c>
      <c r="C6" s="102" t="s">
        <v>170</v>
      </c>
      <c r="D6" s="102"/>
      <c r="E6" s="102"/>
      <c r="F6" s="102"/>
      <c r="G6" s="102"/>
      <c r="H6" s="102"/>
      <c r="I6" s="102"/>
      <c r="J6" s="102"/>
    </row>
    <row r="7" spans="2:12" ht="36.75" customHeight="1" thickBot="1" x14ac:dyDescent="0.3">
      <c r="B7" s="16" t="s">
        <v>126</v>
      </c>
      <c r="C7" s="101" t="s">
        <v>171</v>
      </c>
      <c r="D7" s="101"/>
      <c r="E7" s="101"/>
      <c r="F7" s="101"/>
      <c r="G7" s="101"/>
      <c r="H7" s="101"/>
      <c r="I7" s="101"/>
      <c r="J7" s="101"/>
    </row>
    <row r="8" spans="2:12" ht="15.75" customHeight="1" x14ac:dyDescent="0.3">
      <c r="B8" s="31" t="str">
        <f>SEC_Comm!C8</f>
        <v>ELEC_FIN</v>
      </c>
      <c r="C8" s="74">
        <f>BALANCE!E44*3.6</f>
        <v>403.66079999999999</v>
      </c>
      <c r="D8" s="75">
        <f>C8</f>
        <v>403.66079999999999</v>
      </c>
      <c r="E8" s="75">
        <f>C8*(1+$C$13)</f>
        <v>450.08179200000001</v>
      </c>
      <c r="F8" s="75">
        <f t="shared" ref="F8:J8" si="0">E8*(1+$C$13)</f>
        <v>501.84119808000003</v>
      </c>
      <c r="G8" s="75">
        <f t="shared" si="0"/>
        <v>559.55293585920003</v>
      </c>
      <c r="H8" s="75">
        <f t="shared" si="0"/>
        <v>623.90152348300808</v>
      </c>
      <c r="I8" s="75">
        <f t="shared" si="0"/>
        <v>695.65019868355398</v>
      </c>
      <c r="J8" s="75">
        <f t="shared" si="0"/>
        <v>775.64997153216268</v>
      </c>
      <c r="L8" s="88">
        <f>J8/C8</f>
        <v>1.9215390038670157</v>
      </c>
    </row>
    <row r="9" spans="2:12" ht="15.75" customHeight="1" thickBot="1" x14ac:dyDescent="0.35">
      <c r="B9" s="33" t="str">
        <f>SEC_Comm!C9</f>
        <v>HEAT_FIN</v>
      </c>
      <c r="C9" s="76">
        <f>BALANCE!E45</f>
        <v>202.96700000000001</v>
      </c>
      <c r="D9" s="77">
        <f>C9</f>
        <v>202.96700000000001</v>
      </c>
      <c r="E9" s="77">
        <f>C9*(1+$C$14)</f>
        <v>198.90766000000002</v>
      </c>
      <c r="F9" s="77">
        <f>E9*(1+$C$14)</f>
        <v>194.92950680000001</v>
      </c>
      <c r="G9" s="77">
        <f t="shared" ref="G9:J9" si="1">F9*(1+$C$14)</f>
        <v>191.03091666400002</v>
      </c>
      <c r="H9" s="77">
        <f t="shared" si="1"/>
        <v>187.21029833072001</v>
      </c>
      <c r="I9" s="77">
        <f t="shared" si="1"/>
        <v>183.46609236410561</v>
      </c>
      <c r="J9" s="77">
        <f t="shared" si="1"/>
        <v>179.7967705168235</v>
      </c>
      <c r="L9" s="87">
        <f>J9/C9</f>
        <v>0.88584238086400002</v>
      </c>
    </row>
    <row r="10" spans="2:12" ht="15.75" customHeight="1" x14ac:dyDescent="0.25">
      <c r="L10" s="17"/>
    </row>
    <row r="11" spans="2:12" ht="15.75" customHeight="1" x14ac:dyDescent="0.25"/>
    <row r="12" spans="2:12" ht="13" x14ac:dyDescent="0.3">
      <c r="B12" s="100" t="s">
        <v>168</v>
      </c>
      <c r="C12" s="100"/>
    </row>
    <row r="13" spans="2:12" x14ac:dyDescent="0.25">
      <c r="B13" t="str">
        <f>B8</f>
        <v>ELEC_FIN</v>
      </c>
      <c r="C13" s="73">
        <v>0.115</v>
      </c>
    </row>
    <row r="14" spans="2:12" x14ac:dyDescent="0.25">
      <c r="B14" t="str">
        <f>B9</f>
        <v>HEAT_FIN</v>
      </c>
      <c r="C14" s="73">
        <v>-0.02</v>
      </c>
    </row>
    <row r="17" spans="11:11" x14ac:dyDescent="0.25">
      <c r="K17" s="17"/>
    </row>
    <row r="19" spans="11:11" ht="13.65" customHeight="1" x14ac:dyDescent="0.25"/>
  </sheetData>
  <mergeCells count="3">
    <mergeCell ref="B12:C12"/>
    <mergeCell ref="C7:J7"/>
    <mergeCell ref="C6:J6"/>
  </mergeCells>
  <phoneticPr fontId="0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5FFC9A-E208-4DEB-808A-099CF7A712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BALANCE</vt:lpstr>
      <vt:lpstr>SEC_Comm</vt:lpstr>
      <vt:lpstr>SEC_Processes</vt:lpstr>
      <vt:lpstr>FINAL_DEMAD_PRC</vt:lpstr>
      <vt:lpstr>DEMAND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Maciej Raczyński</cp:lastModifiedBy>
  <cp:revision/>
  <dcterms:created xsi:type="dcterms:W3CDTF">2000-12-13T15:53:11Z</dcterms:created>
  <dcterms:modified xsi:type="dcterms:W3CDTF">2025-11-17T22:31:33Z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761301577091217</vt:r8>
  </property>
</Properties>
</file>