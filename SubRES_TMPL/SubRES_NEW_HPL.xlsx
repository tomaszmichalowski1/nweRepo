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ES_STUDENTS_MID\SubRES_TMPL\"/>
    </mc:Choice>
  </mc:AlternateContent>
  <xr:revisionPtr revIDLastSave="0" documentId="13_ncr:1_{4E10BE78-D61A-4748-AB3E-FB2C74808B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4" l="1"/>
  <c r="M7" i="4"/>
  <c r="L7" i="4"/>
  <c r="K7" i="4"/>
  <c r="J7" i="4"/>
  <c r="D7" i="4"/>
  <c r="C7" i="4" l="1"/>
  <c r="B7" i="4"/>
  <c r="C16" i="4"/>
  <c r="D16" i="4" l="1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2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2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22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2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2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32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2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3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<sst xmlns="http://schemas.openxmlformats.org/spreadsheetml/2006/main" count="100" uniqueCount="84">
  <si>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</si>
  <si>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</si>
  <si>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</si>
  <si>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</si>
  <si>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</si>
  <si>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</si>
  <si>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</si>
  <si>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</si>
  <si>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</si>
  <si>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FIXOM</t>
  </si>
  <si>
    <t>VAROM</t>
  </si>
  <si>
    <t>LIFE</t>
  </si>
  <si>
    <t>CUM</t>
  </si>
  <si>
    <t>COST</t>
  </si>
  <si>
    <t>ACT_BND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</si>
  <si>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</si>
  <si>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</si>
  <si>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</si>
  <si>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</si>
  <si>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</si>
  <si>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</si>
  <si>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</si>
  <si>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</si>
  <si>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</si>
  <si>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</si>
  <si>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</si>
  <si>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</si>
  <si>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~FI_Process</t>
  </si>
  <si>
    <t>Sets</t>
  </si>
  <si>
    <t>Tact</t>
  </si>
  <si>
    <t>Tcap</t>
  </si>
  <si>
    <t>Tslvl</t>
  </si>
  <si>
    <t>PrimaryCG</t>
  </si>
  <si>
    <t>Vintage</t>
  </si>
  <si>
    <t>GW</t>
  </si>
  <si>
    <t>MIN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</si>
  <si>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</si>
  <si>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</si>
  <si>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</si>
  <si>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</si>
  <si>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</si>
  <si>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</si>
  <si>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</si>
  <si>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</si>
  <si>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Fixed O&amp;M Costs [PLN/kW]</t>
  </si>
  <si>
    <t>Variable O&amp;M Costs [PLN/GJ]</t>
  </si>
  <si>
    <t>Investment Cost [PLN/kW]</t>
  </si>
  <si>
    <t>Technical Lifetime [years]</t>
  </si>
  <si>
    <t>Chapter 2.11, Tab. 40 - Tab. 44</t>
  </si>
  <si>
    <t>New Technologies</t>
  </si>
  <si>
    <t>Primary Energy Carriers Extraction</t>
  </si>
  <si>
    <t>Output Commodity</t>
  </si>
  <si>
    <t>Extraction Cost [MPLN/PJ]</t>
  </si>
  <si>
    <t>Annual Extraction Bound [PJ]</t>
  </si>
  <si>
    <t>Define Commodities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</si>
  <si>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</si>
  <si>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</si>
  <si>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</si>
  <si>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</si>
  <si>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</si>
  <si>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</si>
  <si>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</si>
  <si>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Define Processes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</si>
  <si>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</si>
  <si>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</si>
  <si>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</si>
  <si>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</si>
  <si>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</si>
  <si>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</si>
  <si>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INVCOST~2050</t>
  </si>
  <si>
    <t>INVCOST~2025</t>
  </si>
  <si>
    <t>Commodity Name (Pollutant)</t>
  </si>
  <si>
    <t>\I: TechDesc</t>
  </si>
  <si>
    <t>Cumulative Reserves [PJ]</t>
  </si>
  <si>
    <t>Cost parameters based on old PEP2040</t>
  </si>
  <si>
    <t>MIN_BIOM</t>
  </si>
  <si>
    <t>HPL</t>
  </si>
  <si>
    <t>HPL_NEW_BIOM</t>
  </si>
  <si>
    <t>New Biomass Heat Plant</t>
  </si>
  <si>
    <t>Inactive~PRCCOMEMI</t>
  </si>
  <si>
    <t>BIOM</t>
  </si>
  <si>
    <t>Biomass</t>
  </si>
  <si>
    <t>Biomass domestic supply</t>
  </si>
  <si>
    <t>HEAT_HT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</si>
</sst>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3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</cellStyleXfs>
  <cellXfs count="44">
    <xf numFmtId="0" fontId="0" fillId="0" borderId="0" xfId="0"/>
    <xf numFmtId="0" fontId="11" fillId="5" borderId="6" xfId="2" applyFont="1" applyFill="1" applyBorder="1" applyAlignment="1">
      <alignment horizontal="center" vertical="center" wrapText="1"/>
    </xf>
    <xf numFmtId="0" fontId="12" fillId="7" borderId="0" xfId="2" applyFont="1" applyFill="1" applyAlignment="1">
      <alignment horizontal="left"/>
    </xf>
    <xf numFmtId="165" fontId="2" fillId="3" borderId="1" xfId="3" applyNumberFormat="1" applyFont="1" applyFill="1" applyBorder="1" applyAlignment="1">
      <alignment horizontal="right"/>
    </xf>
    <xf numFmtId="1" fontId="2" fillId="3" borderId="1" xfId="3" applyNumberFormat="1" applyFont="1" applyFill="1" applyBorder="1" applyAlignment="1">
      <alignment horizontal="right"/>
    </xf>
    <xf numFmtId="1" fontId="2" fillId="3" borderId="1" xfId="3" applyNumberFormat="1" applyFont="1" applyFill="1" applyBorder="1"/>
    <xf numFmtId="0" fontId="2" fillId="3" borderId="1" xfId="3" quotePrefix="1" applyFont="1" applyFill="1" applyBorder="1" applyAlignment="1">
      <alignment horizontal="left"/>
    </xf>
    <xf numFmtId="0" fontId="10" fillId="4" borderId="8" xfId="0" applyFont="1" applyFill="1" applyBorder="1"/>
    <xf numFmtId="0" fontId="10" fillId="7" borderId="0" xfId="1" applyFont="1" applyFill="1" applyAlignment="1">
      <alignment horizontal="left"/>
    </xf>
    <xf numFmtId="0" fontId="10" fillId="7" borderId="0" xfId="1" applyFont="1" applyFill="1" applyAlignment="1">
      <alignment horizontal="left" wrapText="1"/>
    </xf>
    <xf numFmtId="0" fontId="10" fillId="8" borderId="8" xfId="3" quotePrefix="1" applyFont="1" applyFill="1" applyBorder="1"/>
    <xf numFmtId="0" fontId="10" fillId="8" borderId="8" xfId="0" applyFont="1" applyFill="1" applyBorder="1"/>
    <xf numFmtId="0" fontId="10" fillId="6" borderId="7" xfId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7" borderId="0" xfId="0" applyFont="1" applyFill="1"/>
    <xf numFmtId="0" fontId="10" fillId="7" borderId="0" xfId="0" applyFont="1" applyFill="1"/>
    <xf numFmtId="0" fontId="7" fillId="6" borderId="3" xfId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7" fillId="0" borderId="0" xfId="5"/>
    <xf numFmtId="0" fontId="7" fillId="0" borderId="0" xfId="0" applyFont="1"/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1" fillId="0" borderId="0" xfId="5" applyFont="1" applyAlignment="1">
      <alignment horizontal="left"/>
    </xf>
    <xf numFmtId="0" fontId="6" fillId="0" borderId="0" xfId="5" applyFont="1" applyAlignment="1">
      <alignment horizontal="right"/>
    </xf>
    <xf numFmtId="0" fontId="8" fillId="5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8" fillId="5" borderId="2" xfId="2" applyFont="1" applyFill="1" applyBorder="1" applyAlignment="1">
      <alignment horizontal="center" vertical="center" wrapText="1"/>
    </xf>
    <xf numFmtId="0" fontId="3" fillId="2" borderId="4" xfId="5" quotePrefix="1" applyFont="1" applyFill="1" applyBorder="1" applyAlignment="1">
      <alignment horizontal="left"/>
    </xf>
    <xf numFmtId="0" fontId="3" fillId="2" borderId="0" xfId="0" quotePrefix="1" applyFont="1" applyFill="1"/>
    <xf numFmtId="0" fontId="7" fillId="8" borderId="0" xfId="0" applyFont="1" applyFill="1"/>
    <xf numFmtId="0" fontId="7" fillId="7" borderId="5" xfId="0" applyFont="1" applyFill="1" applyBorder="1"/>
    <xf numFmtId="164" fontId="7" fillId="8" borderId="0" xfId="0" applyNumberFormat="1" applyFont="1" applyFill="1"/>
    <xf numFmtId="165" fontId="7" fillId="8" borderId="0" xfId="0" applyNumberFormat="1" applyFont="1" applyFill="1"/>
    <xf numFmtId="2" fontId="7" fillId="8" borderId="0" xfId="0" applyNumberFormat="1" applyFont="1" applyFill="1"/>
    <xf numFmtId="3" fontId="7" fillId="8" borderId="0" xfId="0" applyNumberFormat="1" applyFont="1" applyFill="1"/>
    <xf numFmtId="165" fontId="7" fillId="7" borderId="5" xfId="0" applyNumberFormat="1" applyFont="1" applyFill="1" applyBorder="1"/>
    <xf numFmtId="2" fontId="7" fillId="7" borderId="5" xfId="0" applyNumberFormat="1" applyFont="1" applyFill="1" applyBorder="1"/>
    <xf numFmtId="3" fontId="7" fillId="7" borderId="5" xfId="0" applyNumberFormat="1" applyFont="1" applyFill="1" applyBorder="1"/>
    <xf numFmtId="1" fontId="7" fillId="8" borderId="0" xfId="0" applyNumberFormat="1" applyFont="1" applyFill="1"/>
    <xf numFmtId="1" fontId="7" fillId="7" borderId="5" xfId="0" applyNumberFormat="1" applyFont="1" applyFill="1" applyBorder="1"/>
  </cellXfs>
  <cellStyles count="6">
    <cellStyle name="Normal 10" xfId="1" xr:uid="{00000000-0005-0000-0000-000013030000}"/>
    <cellStyle name="Normal 4" xfId="2" xr:uid="{00000000-0005-0000-0000-00001C030000}"/>
    <cellStyle name="Normal_MIN" xfId="5" xr:uid="{00000000-0005-0000-0000-000024030000}"/>
    <cellStyle name="Normalny" xfId="0" builtinId="0"/>
    <cellStyle name="Normalny 10" xfId="3" xr:uid="{00000000-0005-0000-0000-000027030000}"/>
    <cellStyle name="Normalny 2" xfId="4" xr:uid="{00000000-0005-0000-0000-00008F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261938</xdr:colOff>
      <xdr:row>2</xdr:row>
      <xdr:rowOff>55563</xdr:rowOff>
    </xdr:to>
    <xdr:sp macro="" textlink="">
      <xdr:nvSpPr>
        <xdr:cNvPr id="3" name="Prostokąt 2">
          <a:extLst>
            <a:ext uri="{FF2B5EF4-FFF2-40B4-BE49-F238E27FC236}">
              <a16:creationId xmlns:a16="http://schemas.microsoft.com/office/drawing/2014/main" id="{D2AD8DB0-D95F-B403-2FD3-12123E4E7FF4}"/>
            </a:ext>
          </a:extLst>
        </xdr:cNvPr>
        <xdr:cNvSpPr/>
      </xdr:nvSpPr>
      <xdr:spPr>
        <a:xfrm>
          <a:off x="15232063" y="0"/>
          <a:ext cx="2139156" cy="4564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Offshore wind profile only at seasonal level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N40"/>
  <sheetViews>
    <sheetView tabSelected="1" zoomScale="160" zoomScaleNormal="160" workbookViewId="0">
      <selection activeCell="I7" sqref="I7"/>
    </sheetView>
  </sheetViews>
  <sheetFormatPr defaultRowHeight="12.5" x14ac:dyDescent="0.25"/>
  <cols>
    <col min="1" max="1" width="2.81640625" customWidth="1"/>
    <col min="2" max="2" width="24.54296875" customWidth="1"/>
    <col min="3" max="3" width="31.7265625" customWidth="1"/>
    <col min="4" max="4" width="26.1796875" customWidth="1"/>
    <col min="5" max="5" width="12.26953125" customWidth="1"/>
    <col min="6" max="6" width="14.54296875" customWidth="1"/>
    <col min="7" max="7" width="15.81640625" customWidth="1"/>
    <col min="8" max="8" width="14.81640625" customWidth="1"/>
    <col min="9" max="9" width="10.54296875" customWidth="1"/>
    <col min="10" max="10" width="10.1796875" customWidth="1"/>
    <col min="11" max="11" width="10.26953125" customWidth="1"/>
    <col min="12" max="12" width="11.1796875" customWidth="1"/>
    <col min="13" max="13" width="13.1796875" customWidth="1"/>
    <col min="14" max="14" width="10.453125" customWidth="1"/>
  </cols>
  <sheetData>
    <row r="1" spans="2:14" ht="14" x14ac:dyDescent="0.25">
      <c r="L1" s="29" t="s">
        <v>74</v>
      </c>
      <c r="M1" s="29"/>
      <c r="N1" s="29"/>
    </row>
    <row r="2" spans="2:14" ht="17.5" x14ac:dyDescent="0.35">
      <c r="B2" s="20" t="s">
        <v>49</v>
      </c>
      <c r="L2" s="29" t="s">
        <v>48</v>
      </c>
      <c r="M2" s="29"/>
      <c r="N2" s="29"/>
    </row>
    <row r="3" spans="2:14" ht="13" x14ac:dyDescent="0.3">
      <c r="F3" s="18"/>
      <c r="G3" s="18"/>
      <c r="H3" s="17"/>
      <c r="I3" s="17"/>
      <c r="J3" s="17"/>
      <c r="K3" s="17"/>
      <c r="L3" s="19"/>
    </row>
    <row r="4" spans="2:14" ht="15.75" customHeight="1" x14ac:dyDescent="0.3">
      <c r="E4" s="17" t="s">
        <v>0</v>
      </c>
      <c r="F4" s="17"/>
      <c r="G4" s="17"/>
      <c r="H4" s="17"/>
      <c r="I4" s="19"/>
    </row>
    <row r="5" spans="2:14" ht="26" x14ac:dyDescent="0.25">
      <c r="B5" s="23" t="s">
        <v>1</v>
      </c>
      <c r="C5" s="23" t="s">
        <v>72</v>
      </c>
      <c r="D5" s="23" t="s">
        <v>3</v>
      </c>
      <c r="E5" s="23" t="s">
        <v>4</v>
      </c>
      <c r="F5" s="23" t="s">
        <v>5</v>
      </c>
      <c r="G5" s="23" t="s">
        <v>6</v>
      </c>
      <c r="H5" s="24" t="s">
        <v>7</v>
      </c>
      <c r="I5" s="24" t="s">
        <v>8</v>
      </c>
      <c r="J5" s="24" t="s">
        <v>70</v>
      </c>
      <c r="K5" s="24" t="s">
        <v>69</v>
      </c>
      <c r="L5" s="24" t="s">
        <v>9</v>
      </c>
      <c r="M5" s="24" t="s">
        <v>10</v>
      </c>
      <c r="N5" s="30" t="s">
        <v>11</v>
      </c>
    </row>
    <row r="6" spans="2:14" s="19" customFormat="1" ht="48.25" customHeight="1" thickBot="1" x14ac:dyDescent="0.3">
      <c r="B6" s="16" t="s">
        <v>36</v>
      </c>
      <c r="C6" s="16" t="s">
        <v>37</v>
      </c>
      <c r="D6" s="16" t="s">
        <v>38</v>
      </c>
      <c r="E6" s="16" t="s">
        <v>39</v>
      </c>
      <c r="F6" s="16" t="s">
        <v>40</v>
      </c>
      <c r="G6" s="16" t="s">
        <v>41</v>
      </c>
      <c r="H6" s="16" t="s">
        <v>42</v>
      </c>
      <c r="I6" s="16" t="s">
        <v>43</v>
      </c>
      <c r="J6" s="16" t="s">
        <v>46</v>
      </c>
      <c r="K6" s="16" t="s">
        <v>46</v>
      </c>
      <c r="L6" s="16" t="s">
        <v>44</v>
      </c>
      <c r="M6" s="16" t="s">
        <v>45</v>
      </c>
      <c r="N6" s="16" t="s">
        <v>47</v>
      </c>
    </row>
    <row r="7" spans="2:14" ht="15.75" customHeight="1" x14ac:dyDescent="0.25">
      <c r="B7" s="33" t="str">
        <f>C34</f>
        <v>HPL_NEW_BIOM</v>
      </c>
      <c r="C7" s="33" t="str">
        <f>D34</f>
        <v>New Biomass Heat Plant</v>
      </c>
      <c r="D7" s="42" t="str">
        <f>D16</f>
        <v>BIOM</v>
      </c>
      <c r="E7" s="35" t="s">
        <v>83</v>
      </c>
      <c r="F7" s="33">
        <v>2025</v>
      </c>
      <c r="G7" s="36">
        <v>0.9</v>
      </c>
      <c r="H7" s="33">
        <v>31.536000000000001</v>
      </c>
      <c r="I7" s="37">
        <f>3000/8760</f>
        <v>0.34246575342465752</v>
      </c>
      <c r="J7" s="38">
        <f>666*4.29</f>
        <v>2857.14</v>
      </c>
      <c r="K7" s="38">
        <f>666*4.29</f>
        <v>2857.14</v>
      </c>
      <c r="L7" s="42">
        <f>1.8*4.29</f>
        <v>7.7220000000000004</v>
      </c>
      <c r="M7" s="37">
        <f>1.7/3.6*4.29</f>
        <v>2.0258333333333334</v>
      </c>
      <c r="N7" s="33">
        <v>30</v>
      </c>
    </row>
    <row r="8" spans="2:14" ht="15.75" customHeight="1" thickBot="1" x14ac:dyDescent="0.3">
      <c r="B8" s="34"/>
      <c r="C8" s="34"/>
      <c r="D8" s="34"/>
      <c r="E8" s="34"/>
      <c r="F8" s="34"/>
      <c r="G8" s="39"/>
      <c r="H8" s="34"/>
      <c r="I8" s="40"/>
      <c r="J8" s="41"/>
      <c r="K8" s="41"/>
      <c r="L8" s="43"/>
      <c r="M8" s="40"/>
      <c r="N8" s="34"/>
    </row>
    <row r="11" spans="2:14" ht="17.5" x14ac:dyDescent="0.35">
      <c r="B11" s="31" t="s">
        <v>50</v>
      </c>
      <c r="C11" s="20"/>
      <c r="D11" s="20"/>
    </row>
    <row r="13" spans="2:14" ht="13" x14ac:dyDescent="0.3">
      <c r="D13" s="25" t="s">
        <v>0</v>
      </c>
      <c r="E13" s="21"/>
      <c r="F13" s="21"/>
      <c r="G13" s="26"/>
    </row>
    <row r="14" spans="2:14" ht="13" x14ac:dyDescent="0.25">
      <c r="B14" s="27" t="s">
        <v>1</v>
      </c>
      <c r="C14" s="27" t="s">
        <v>72</v>
      </c>
      <c r="D14" s="27" t="s">
        <v>4</v>
      </c>
      <c r="E14" s="28" t="s">
        <v>12</v>
      </c>
      <c r="F14" s="27" t="s">
        <v>13</v>
      </c>
      <c r="G14" s="27" t="s">
        <v>14</v>
      </c>
    </row>
    <row r="15" spans="2:14" ht="47.25" customHeight="1" thickBot="1" x14ac:dyDescent="0.3">
      <c r="B15" s="16" t="s">
        <v>36</v>
      </c>
      <c r="C15" s="16" t="s">
        <v>37</v>
      </c>
      <c r="D15" s="16" t="s">
        <v>51</v>
      </c>
      <c r="E15" s="16" t="s">
        <v>73</v>
      </c>
      <c r="F15" s="16" t="s">
        <v>52</v>
      </c>
      <c r="G15" s="16" t="s">
        <v>53</v>
      </c>
    </row>
    <row r="16" spans="2:14" ht="15.75" customHeight="1" thickBot="1" x14ac:dyDescent="0.3">
      <c r="B16" s="6" t="str">
        <f>C35</f>
        <v>MIN_BIOM</v>
      </c>
      <c r="C16" s="6" t="str">
        <f>D35</f>
        <v>Biomass domestic supply</v>
      </c>
      <c r="D16" s="5" t="str">
        <f>C24</f>
        <v>BIOM</v>
      </c>
      <c r="E16" s="4"/>
      <c r="F16" s="3">
        <v>20</v>
      </c>
      <c r="G16" s="4"/>
      <c r="I16" s="22"/>
    </row>
    <row r="19" spans="2:9" ht="17.5" x14ac:dyDescent="0.35">
      <c r="B19" s="20" t="s">
        <v>54</v>
      </c>
      <c r="C19" s="20"/>
      <c r="D19" s="20"/>
    </row>
    <row r="21" spans="2:9" ht="18.75" customHeight="1" thickBot="1" x14ac:dyDescent="0.4">
      <c r="B21" s="14" t="s">
        <v>15</v>
      </c>
      <c r="C21" s="14"/>
      <c r="D21" s="14"/>
      <c r="E21" s="14"/>
      <c r="F21" s="14"/>
      <c r="G21" s="14"/>
      <c r="H21" s="14"/>
      <c r="I21" s="14"/>
    </row>
    <row r="22" spans="2:9" ht="13.5" thickBot="1" x14ac:dyDescent="0.3">
      <c r="B22" s="13" t="s">
        <v>16</v>
      </c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21</v>
      </c>
      <c r="H22" s="13" t="s">
        <v>22</v>
      </c>
      <c r="I22" s="13" t="s">
        <v>23</v>
      </c>
    </row>
    <row r="23" spans="2:9" ht="38" thickBot="1" x14ac:dyDescent="0.3">
      <c r="B23" s="12" t="s">
        <v>55</v>
      </c>
      <c r="C23" s="12" t="s">
        <v>56</v>
      </c>
      <c r="D23" s="12" t="s">
        <v>57</v>
      </c>
      <c r="E23" s="12" t="s">
        <v>19</v>
      </c>
      <c r="F23" s="12" t="s">
        <v>58</v>
      </c>
      <c r="G23" s="12" t="s">
        <v>59</v>
      </c>
      <c r="H23" s="12" t="s">
        <v>60</v>
      </c>
      <c r="I23" s="12" t="s">
        <v>61</v>
      </c>
    </row>
    <row r="24" spans="2:9" ht="18.75" customHeight="1" x14ac:dyDescent="0.25">
      <c r="B24" s="9" t="s">
        <v>24</v>
      </c>
      <c r="C24" s="9" t="s">
        <v>80</v>
      </c>
      <c r="D24" s="8" t="s">
        <v>81</v>
      </c>
      <c r="E24" s="9" t="s">
        <v>25</v>
      </c>
      <c r="F24" s="9"/>
      <c r="G24" s="9"/>
      <c r="H24" s="9"/>
      <c r="I24" s="9"/>
    </row>
    <row r="25" spans="2:9" ht="18.75" customHeight="1" thickBot="1" x14ac:dyDescent="0.3">
      <c r="B25" s="7"/>
      <c r="C25" s="7"/>
      <c r="D25" s="7"/>
      <c r="E25" s="7"/>
      <c r="F25" s="7"/>
      <c r="G25" s="7"/>
      <c r="H25" s="7"/>
      <c r="I25" s="7"/>
    </row>
    <row r="28" spans="2:9" ht="17.5" x14ac:dyDescent="0.35">
      <c r="B28" s="32" t="s">
        <v>62</v>
      </c>
      <c r="C28" s="20"/>
      <c r="D28" s="20"/>
    </row>
    <row r="29" spans="2:9" ht="15" customHeight="1" x14ac:dyDescent="0.3">
      <c r="B29" s="17"/>
      <c r="C29" s="17"/>
    </row>
    <row r="31" spans="2:9" ht="18.75" customHeight="1" thickBot="1" x14ac:dyDescent="0.4">
      <c r="B31" s="14" t="s">
        <v>27</v>
      </c>
      <c r="C31" s="14"/>
      <c r="D31" s="14"/>
      <c r="E31" s="14"/>
      <c r="F31" s="14"/>
      <c r="G31" s="14"/>
      <c r="H31" s="14"/>
      <c r="I31" s="14"/>
    </row>
    <row r="32" spans="2:9" ht="13.5" thickBot="1" x14ac:dyDescent="0.3">
      <c r="B32" s="13" t="s">
        <v>28</v>
      </c>
      <c r="C32" s="13" t="s">
        <v>1</v>
      </c>
      <c r="D32" s="13" t="s">
        <v>2</v>
      </c>
      <c r="E32" s="13" t="s">
        <v>29</v>
      </c>
      <c r="F32" s="13" t="s">
        <v>30</v>
      </c>
      <c r="G32" s="13" t="s">
        <v>31</v>
      </c>
      <c r="H32" s="13" t="s">
        <v>32</v>
      </c>
      <c r="I32" s="13" t="s">
        <v>33</v>
      </c>
    </row>
    <row r="33" spans="2:9" ht="38" thickBot="1" x14ac:dyDescent="0.3">
      <c r="B33" s="12" t="s">
        <v>63</v>
      </c>
      <c r="C33" s="12" t="s">
        <v>64</v>
      </c>
      <c r="D33" s="12" t="s">
        <v>37</v>
      </c>
      <c r="E33" s="12" t="s">
        <v>65</v>
      </c>
      <c r="F33" s="12" t="s">
        <v>66</v>
      </c>
      <c r="G33" s="12" t="s">
        <v>59</v>
      </c>
      <c r="H33" s="12" t="s">
        <v>67</v>
      </c>
      <c r="I33" s="12" t="s">
        <v>68</v>
      </c>
    </row>
    <row r="34" spans="2:9" ht="18.75" customHeight="1" x14ac:dyDescent="0.25">
      <c r="B34" s="15" t="s">
        <v>76</v>
      </c>
      <c r="C34" s="15" t="s">
        <v>77</v>
      </c>
      <c r="D34" s="15" t="s">
        <v>78</v>
      </c>
      <c r="E34" s="15" t="s">
        <v>25</v>
      </c>
      <c r="F34" s="15" t="s">
        <v>34</v>
      </c>
      <c r="G34" s="15" t="s">
        <v>26</v>
      </c>
      <c r="H34" s="15"/>
      <c r="I34" s="15"/>
    </row>
    <row r="35" spans="2:9" ht="18.75" customHeight="1" thickBot="1" x14ac:dyDescent="0.3">
      <c r="B35" s="11" t="s">
        <v>35</v>
      </c>
      <c r="C35" s="10" t="s">
        <v>75</v>
      </c>
      <c r="D35" s="11" t="s">
        <v>82</v>
      </c>
      <c r="E35" s="11" t="s">
        <v>25</v>
      </c>
      <c r="F35" s="11"/>
      <c r="G35" s="11"/>
      <c r="H35" s="11"/>
      <c r="I35" s="11"/>
    </row>
    <row r="36" spans="2:9" ht="18.75" customHeight="1" x14ac:dyDescent="0.25"/>
    <row r="38" spans="2:9" ht="18.75" customHeight="1" thickBot="1" x14ac:dyDescent="0.4">
      <c r="B38" s="2" t="s">
        <v>79</v>
      </c>
      <c r="D38" s="14"/>
    </row>
    <row r="39" spans="2:9" ht="13.5" thickBot="1" x14ac:dyDescent="0.3">
      <c r="B39" s="1" t="s">
        <v>1</v>
      </c>
      <c r="C39" s="1" t="s">
        <v>17</v>
      </c>
      <c r="D39" s="1"/>
    </row>
    <row r="40" spans="2:9" ht="13" thickBot="1" x14ac:dyDescent="0.3">
      <c r="B40" s="12" t="s">
        <v>36</v>
      </c>
      <c r="C40" s="12" t="s">
        <v>71</v>
      </c>
      <c r="D40" s="12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EFD64C-3030-4CB0-BDE8-433764A2E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2005-06-03T09:41:13Z</dcterms:created>
  <dcterms:modified xsi:type="dcterms:W3CDTF">2025-11-17T22:44:06Z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